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yogeshupadhyaya/Documents/Documents/CoalEffandPLF/"/>
    </mc:Choice>
  </mc:AlternateContent>
  <xr:revisionPtr revIDLastSave="0" documentId="13_ncr:1_{A026A888-FF44-8540-A5CB-4ECD623884D6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Raw data" sheetId="1" r:id="rId1"/>
    <sheet name="Working sheet" sheetId="3" r:id="rId2"/>
    <sheet name="Source" sheetId="2" r:id="rId3"/>
  </sheets>
  <definedNames>
    <definedName name="_xlnm._FilterDatabase" localSheetId="1" hidden="1">'Working sheet'!$A$1:$Q$456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3" l="1"/>
  <c r="W6" i="3"/>
  <c r="N460" i="3"/>
  <c r="N459" i="3"/>
  <c r="S30" i="3"/>
  <c r="S24" i="3"/>
  <c r="S22" i="3"/>
  <c r="S21" i="3"/>
  <c r="S19" i="3"/>
  <c r="S15" i="3"/>
  <c r="S13" i="3"/>
  <c r="T13" i="3" s="1"/>
  <c r="S9" i="3"/>
  <c r="S5" i="3"/>
  <c r="S3" i="3"/>
  <c r="T3" i="3" s="1"/>
  <c r="S453" i="3"/>
</calcChain>
</file>

<file path=xl/sharedStrings.xml><?xml version="1.0" encoding="utf-8"?>
<sst xmlns="http://schemas.openxmlformats.org/spreadsheetml/2006/main" count="5520" uniqueCount="297">
  <si>
    <t>Table 1: CSE Analysis: Performance of Subcritical units operating in India using CEA’s CO2 database, 2022-23, version 19</t>
  </si>
  <si>
    <t>Sr. No.</t>
  </si>
  <si>
    <t>Name</t>
  </si>
  <si>
    <t>Unit no.</t>
  </si>
  <si>
    <t>Company</t>
  </si>
  <si>
    <t>Sector</t>
  </si>
  <si>
    <t>Age</t>
  </si>
  <si>
    <t>Average GCV</t>
  </si>
  <si>
    <t>Average GCV Range</t>
  </si>
  <si>
    <t>Fuel</t>
  </si>
  <si>
    <t>Capacity</t>
  </si>
  <si>
    <t>Emission factor (ton/MWh)</t>
  </si>
  <si>
    <t>PLF (per cent)</t>
  </si>
  <si>
    <t>SHR (kcal/kWh)</t>
  </si>
  <si>
    <t>Efficiency (per cent)</t>
  </si>
  <si>
    <t>Auxiliary Consumption (per cent)</t>
  </si>
  <si>
    <t>Net generation (GWh)</t>
  </si>
  <si>
    <t>CO2 emissions (MT)</t>
  </si>
  <si>
    <t>Torangallu Imp</t>
  </si>
  <si>
    <t>1</t>
  </si>
  <si>
    <t>JSW Energy</t>
  </si>
  <si>
    <t>Private</t>
  </si>
  <si>
    <t>(5000, 6000)</t>
  </si>
  <si>
    <t>Coal</t>
  </si>
  <si>
    <t>2</t>
  </si>
  <si>
    <t>Torangallu Ext</t>
  </si>
  <si>
    <t>JSW Energy Ltd</t>
  </si>
  <si>
    <t>Mundra TPP</t>
  </si>
  <si>
    <t>Adani Power Ltd</t>
  </si>
  <si>
    <t>(4000, 4500)</t>
  </si>
  <si>
    <t>Trombay_Coal</t>
  </si>
  <si>
    <t>TATA Power</t>
  </si>
  <si>
    <t>K_Gudem New</t>
  </si>
  <si>
    <t>4</t>
  </si>
  <si>
    <t>TSGENCO</t>
  </si>
  <si>
    <t>State</t>
  </si>
  <si>
    <t>(3500, 4000)</t>
  </si>
  <si>
    <t>Haldia</t>
  </si>
  <si>
    <t>Haldia Energy Ltd.</t>
  </si>
  <si>
    <t>(3000, 3500)</t>
  </si>
  <si>
    <t>Tamnar TPP</t>
  </si>
  <si>
    <t>3</t>
  </si>
  <si>
    <t>OP Jindal</t>
  </si>
  <si>
    <t>(2000, 3000)</t>
  </si>
  <si>
    <t>Korba Stps</t>
  </si>
  <si>
    <t>7</t>
  </si>
  <si>
    <t>NTPC</t>
  </si>
  <si>
    <t>Centre</t>
  </si>
  <si>
    <t>Budge Budge</t>
  </si>
  <si>
    <t>CESC</t>
  </si>
  <si>
    <t>Anpara</t>
  </si>
  <si>
    <t>6</t>
  </si>
  <si>
    <t>UPRVUNL</t>
  </si>
  <si>
    <t>R_Gundem Stps</t>
  </si>
  <si>
    <t>Singareni TPP</t>
  </si>
  <si>
    <t>Singareni Collieries</t>
  </si>
  <si>
    <t>Chandrapur_Coal</t>
  </si>
  <si>
    <t>8</t>
  </si>
  <si>
    <t>MAHAGENCO</t>
  </si>
  <si>
    <t>Salaya TPP</t>
  </si>
  <si>
    <t>Essar Energy Ltd</t>
  </si>
  <si>
    <t>Anapara “C”</t>
  </si>
  <si>
    <t>Lanco Anapara Power</t>
  </si>
  <si>
    <t>9</t>
  </si>
  <si>
    <t>Kakatiya TPP (Stage-II)</t>
  </si>
  <si>
    <t>Sipat Stps</t>
  </si>
  <si>
    <t>JSW Ratnagiri TPP</t>
  </si>
  <si>
    <t>Vindh_Chal Stps</t>
  </si>
  <si>
    <t>11</t>
  </si>
  <si>
    <t>ITPCL TPP</t>
  </si>
  <si>
    <t>IL&amp;FS TN Power Corp Ltd</t>
  </si>
  <si>
    <t>12</t>
  </si>
  <si>
    <t>Udupi TPP</t>
  </si>
  <si>
    <t>Upcl</t>
  </si>
  <si>
    <t>Mouda Stps</t>
  </si>
  <si>
    <t>Dhanu</t>
  </si>
  <si>
    <t>Rel</t>
  </si>
  <si>
    <t>Amaravati TPP</t>
  </si>
  <si>
    <t>5</t>
  </si>
  <si>
    <t>India Bulls</t>
  </si>
  <si>
    <t>Maithon Rb TPP</t>
  </si>
  <si>
    <t>DVC-TATA JV</t>
  </si>
  <si>
    <t>Kamalanga</t>
  </si>
  <si>
    <t>GMR.K Ltd</t>
  </si>
  <si>
    <t>Kakatiya TPP (Stage-I)</t>
  </si>
  <si>
    <t>13</t>
  </si>
  <si>
    <t>Avantha Bhandar TPP</t>
  </si>
  <si>
    <t>Korba West Power Co Ltd</t>
  </si>
  <si>
    <t>Baradarha TPP</t>
  </si>
  <si>
    <t>Db Power Ltd</t>
  </si>
  <si>
    <t>Kahalgaon</t>
  </si>
  <si>
    <t>10</t>
  </si>
  <si>
    <t>Sagardighi TPP</t>
  </si>
  <si>
    <t>WBPDC</t>
  </si>
  <si>
    <t>Dadri (NcTPP)</t>
  </si>
  <si>
    <t>Simhadri</t>
  </si>
  <si>
    <t>Talcher Stps</t>
  </si>
  <si>
    <t>Tuticorin JV Stage- IV</t>
  </si>
  <si>
    <t>SEPC</t>
  </si>
  <si>
    <t>(4500, 5000)</t>
  </si>
  <si>
    <t>Rosa TPP Ph - 1</t>
  </si>
  <si>
    <t>Rosa Power Company</t>
  </si>
  <si>
    <t>Derang</t>
  </si>
  <si>
    <t>JIPL</t>
  </si>
  <si>
    <t>Emco GMR Warora TPP</t>
  </si>
  <si>
    <t>Emco Energy (GMR)</t>
  </si>
  <si>
    <t>Vallur NTPC/Ntecl</t>
  </si>
  <si>
    <t>NTPC/Ntecl</t>
  </si>
  <si>
    <t>Itpcl TPP</t>
  </si>
  <si>
    <t>Dhariwal Inf TPP</t>
  </si>
  <si>
    <t>Dhariwal Infra Private Ltd</t>
  </si>
  <si>
    <t>Rosa TPP</t>
  </si>
  <si>
    <t>Rihand</t>
  </si>
  <si>
    <t>Yamunanagar TPP</t>
  </si>
  <si>
    <t>HPGCL</t>
  </si>
  <si>
    <t>Raghunathpur TPP Ph-I</t>
  </si>
  <si>
    <t>DVC</t>
  </si>
  <si>
    <t>Durgapur Steel Tps</t>
  </si>
  <si>
    <t>Rayal Seema</t>
  </si>
  <si>
    <t>APGENCO</t>
  </si>
  <si>
    <t>Rajiv Gandhi Tps Hisar</t>
  </si>
  <si>
    <t>Mahadev Prasad STPP</t>
  </si>
  <si>
    <t>Adahunik Power</t>
  </si>
  <si>
    <t>Unchahar</t>
  </si>
  <si>
    <t>Farakka Stps</t>
  </si>
  <si>
    <t>Sanjay Gandhi</t>
  </si>
  <si>
    <t>MPGPCL</t>
  </si>
  <si>
    <t>Mejia Tps Ext</t>
  </si>
  <si>
    <t>Singrauli Stps</t>
  </si>
  <si>
    <t>Vizag TPP</t>
  </si>
  <si>
    <t>Hinduja National Power Corp Ltd</t>
  </si>
  <si>
    <t>Raigarh TPP(OP Jindal Tps)</t>
  </si>
  <si>
    <t>Akaltara TPP /Nariyara TPP</t>
  </si>
  <si>
    <t>Ksk Mahanadi Power</t>
  </si>
  <si>
    <t>Barauni (Ext)</t>
  </si>
  <si>
    <t>BSEB</t>
  </si>
  <si>
    <t>Bhilai TPP</t>
  </si>
  <si>
    <t>NTPC/Sail</t>
  </si>
  <si>
    <t>Bokaro A ‘’Exp’’</t>
  </si>
  <si>
    <t>Bakreswar</t>
  </si>
  <si>
    <t>Barauni</t>
  </si>
  <si>
    <t>Kota</t>
  </si>
  <si>
    <t>RRVUNL</t>
  </si>
  <si>
    <t>Mettur Tps Ext</t>
  </si>
  <si>
    <t>TNEB</t>
  </si>
  <si>
    <t>Indra Gandhi STPP</t>
  </si>
  <si>
    <t>NTPC/Apcpl JV</t>
  </si>
  <si>
    <t>Satpura</t>
  </si>
  <si>
    <t>Korba-V(Dspm Tps)</t>
  </si>
  <si>
    <t>CSEB</t>
  </si>
  <si>
    <t>Vijaywada TPP-Iv</t>
  </si>
  <si>
    <t>Seioni TPP</t>
  </si>
  <si>
    <t>Jhabua Power Ltd</t>
  </si>
  <si>
    <t>Torr Power(Sabarmati)</t>
  </si>
  <si>
    <t>Torr Power</t>
  </si>
  <si>
    <t>Chandrapura</t>
  </si>
  <si>
    <t>Nabi Nagar TPP (Brbcl)</t>
  </si>
  <si>
    <t>NTPC JV</t>
  </si>
  <si>
    <t>Anuppur TPP</t>
  </si>
  <si>
    <t>Mb Power (Mp)</t>
  </si>
  <si>
    <t>Santaldih</t>
  </si>
  <si>
    <t>Ukai_Coal</t>
  </si>
  <si>
    <t>GSECL</t>
  </si>
  <si>
    <t>Bongaigaon TPP</t>
  </si>
  <si>
    <t>Iepl ,Bela TPP</t>
  </si>
  <si>
    <t>Iepl</t>
  </si>
  <si>
    <t>Muzaffarpur Exp</t>
  </si>
  <si>
    <t>JV NTPC &amp; BSEB</t>
  </si>
  <si>
    <t>Koderma</t>
  </si>
  <si>
    <t>Shri Singaji Malwa TPP</t>
  </si>
  <si>
    <t>Mppgcl</t>
  </si>
  <si>
    <t>Paricha</t>
  </si>
  <si>
    <t>Sterlite TPP(Vedanta)</t>
  </si>
  <si>
    <t>Sterlite Energy</t>
  </si>
  <si>
    <t>Suratgarh</t>
  </si>
  <si>
    <t>Korba-West Ext</t>
  </si>
  <si>
    <t>Uchpinda TPP</t>
  </si>
  <si>
    <t>Rkm Powergen Private Ltd.</t>
  </si>
  <si>
    <t>Mettur</t>
  </si>
  <si>
    <t>Melamaruthur (Muthiara)</t>
  </si>
  <si>
    <t>Coastal Energen</t>
  </si>
  <si>
    <t>Mejia</t>
  </si>
  <si>
    <t>Sikka Extn</t>
  </si>
  <si>
    <t>Bhadradri TPP</t>
  </si>
  <si>
    <t>Nawapara</t>
  </si>
  <si>
    <t>Trn Energy</t>
  </si>
  <si>
    <t>Tuticorin JV</t>
  </si>
  <si>
    <t>Ntpl(JV Of NLC &amp; Tangedco)</t>
  </si>
  <si>
    <t>Paras</t>
  </si>
  <si>
    <t>North Chennai Extension</t>
  </si>
  <si>
    <t>Pathadi Tps Ph -I</t>
  </si>
  <si>
    <t>Lanco Amarkantak</t>
  </si>
  <si>
    <t>H_Ganj B</t>
  </si>
  <si>
    <t>Mahan TPP</t>
  </si>
  <si>
    <t>Bpscl</t>
  </si>
  <si>
    <t>Bina TPP</t>
  </si>
  <si>
    <t>Bina Power Supply</t>
  </si>
  <si>
    <t>Binjkote</t>
  </si>
  <si>
    <t>Sks Power Generation</t>
  </si>
  <si>
    <t>Jojbera</t>
  </si>
  <si>
    <t>Vijaywada (Dr. N.TATA Rao Tps)</t>
  </si>
  <si>
    <t>Balco TPP</t>
  </si>
  <si>
    <t>Balco India Private Ltd.</t>
  </si>
  <si>
    <t>Wardha Warora (Sai Wardha Power)</t>
  </si>
  <si>
    <t>Sai Wardha Power Ltd.</t>
  </si>
  <si>
    <t>Bandakhar TPP</t>
  </si>
  <si>
    <t>Maruti Clean Coal Ch. Ltd</t>
  </si>
  <si>
    <t>Tenughat</t>
  </si>
  <si>
    <t>Tvnl</t>
  </si>
  <si>
    <t>India Power TPP (Haldia, Hiranmaye )</t>
  </si>
  <si>
    <t>Hiranmaye Energy Ltd</t>
  </si>
  <si>
    <t>Kalisindh</t>
  </si>
  <si>
    <t>Parli</t>
  </si>
  <si>
    <t>Chhabra Tps</t>
  </si>
  <si>
    <t>Raichur</t>
  </si>
  <si>
    <t>KPCL</t>
  </si>
  <si>
    <t>India Power TPP (Haldia, Hiranmaye)</t>
  </si>
  <si>
    <t>D.P.L.</t>
  </si>
  <si>
    <t>Dpl</t>
  </si>
  <si>
    <t>Marwa TPP</t>
  </si>
  <si>
    <t>Cspgcl</t>
  </si>
  <si>
    <t>Panipat</t>
  </si>
  <si>
    <t>Tuticorin</t>
  </si>
  <si>
    <t>Wanakbori</t>
  </si>
  <si>
    <t>Gandhi Nagar</t>
  </si>
  <si>
    <t>Goindwal Sahib TPP</t>
  </si>
  <si>
    <t>GVK Power Ltd.</t>
  </si>
  <si>
    <t>Amar Kantak Ext</t>
  </si>
  <si>
    <t>Obra-A</t>
  </si>
  <si>
    <t>K_Kheda Ii</t>
  </si>
  <si>
    <t>I.B.Valley</t>
  </si>
  <si>
    <t>OPGC</t>
  </si>
  <si>
    <t>Korba-West</t>
  </si>
  <si>
    <t>Ghtp (Leh.Moh.)</t>
  </si>
  <si>
    <t>PSEB</t>
  </si>
  <si>
    <t>Kolaghat</t>
  </si>
  <si>
    <t>Surat Lignite</t>
  </si>
  <si>
    <t>Gipcl</t>
  </si>
  <si>
    <t>Lignite</t>
  </si>
  <si>
    <t>Bhusawal</t>
  </si>
  <si>
    <t>Bandel</t>
  </si>
  <si>
    <t>Kasaipalli</t>
  </si>
  <si>
    <t>Acb India Ltd</t>
  </si>
  <si>
    <t>Southern Repl.</t>
  </si>
  <si>
    <t>Bellary Tps</t>
  </si>
  <si>
    <t>North Chennai</t>
  </si>
  <si>
    <t>Neyveli New TPP</t>
  </si>
  <si>
    <t>NLC</t>
  </si>
  <si>
    <t>Nashik</t>
  </si>
  <si>
    <t>Jallippa Kapurdi TPP</t>
  </si>
  <si>
    <t>Raj West Power Ltd (JSW)</t>
  </si>
  <si>
    <t>Kundarki TPP</t>
  </si>
  <si>
    <t>Bajaj Energy Private</t>
  </si>
  <si>
    <t>Utraula TPP</t>
  </si>
  <si>
    <t>R_Gundem - B</t>
  </si>
  <si>
    <t>Koradi</t>
  </si>
  <si>
    <t>Maqsoodpur Ipp</t>
  </si>
  <si>
    <t>Barkhera TPP</t>
  </si>
  <si>
    <t>Ropar</t>
  </si>
  <si>
    <t>Khamberkhera Ipp</t>
  </si>
  <si>
    <t>Barsingar Ligniteite</t>
  </si>
  <si>
    <t>Ratija TPP</t>
  </si>
  <si>
    <t>Scpl Ltd</t>
  </si>
  <si>
    <t>Neyveli Tps(Z)</t>
  </si>
  <si>
    <t>Taqa</t>
  </si>
  <si>
    <t>Neyveli Fst Ext</t>
  </si>
  <si>
    <t>Neyveli Tps Exp -Ii</t>
  </si>
  <si>
    <t>Niwari TPP</t>
  </si>
  <si>
    <t>BLA Power Ltd</t>
  </si>
  <si>
    <t>Chakabura TPP</t>
  </si>
  <si>
    <t>Neyveli St Ii</t>
  </si>
  <si>
    <t>Akrimota Lig</t>
  </si>
  <si>
    <t>GMDCL</t>
  </si>
  <si>
    <t>Bhavnagar TPP</t>
  </si>
  <si>
    <t>BECL</t>
  </si>
  <si>
    <t>Durgapur</t>
  </si>
  <si>
    <t>Kutch Lignite</t>
  </si>
  <si>
    <t>Source and extraction notes</t>
  </si>
  <si>
    <t>PDF file</t>
  </si>
  <si>
    <t>http___cdn.cseindia.org_attachments_0.97182500_1752548825_database-tables.pdf</t>
  </si>
  <si>
    <t>Table extracted</t>
  </si>
  <si>
    <t>Table 1: Performance of Subcritical units</t>
  </si>
  <si>
    <t>PDF page span</t>
  </si>
  <si>
    <t>Printed pages 4–32 / file pages 3–17</t>
  </si>
  <si>
    <t>Rows extracted</t>
  </si>
  <si>
    <t>R Sqaured</t>
  </si>
  <si>
    <t>Correlation</t>
  </si>
  <si>
    <t>Efficiency and PLf</t>
  </si>
  <si>
    <t>Capacity and PLF</t>
  </si>
  <si>
    <t>After ignoring &lt;20%</t>
  </si>
  <si>
    <t>Median PLF</t>
  </si>
  <si>
    <t>Median Efficiency</t>
  </si>
  <si>
    <t>Average Coal</t>
  </si>
  <si>
    <t>Average overall</t>
  </si>
  <si>
    <t>Age and PLF</t>
  </si>
  <si>
    <t>Maximum efficiency</t>
  </si>
  <si>
    <t>Minimum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</si>
</sst>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0" fillId="4" borderId="0" xfId="0" applyFill="1"/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'Working sheet'!$L$2:$L$456</c:f>
              <c:numCache>
                <c:formatCode>0.0</c:formatCode>
                <c:ptCount val="455"/>
                <c:pt idx="0">
                  <c:v>2.2999999999999998</c:v>
                </c:pt>
                <c:pt idx="1">
                  <c:v>4.3</c:v>
                </c:pt>
                <c:pt idx="2">
                  <c:v>5.9</c:v>
                </c:pt>
                <c:pt idx="3">
                  <c:v>6.4</c:v>
                </c:pt>
                <c:pt idx="4">
                  <c:v>10.3</c:v>
                </c:pt>
                <c:pt idx="5">
                  <c:v>10.8</c:v>
                </c:pt>
                <c:pt idx="6">
                  <c:v>11.4</c:v>
                </c:pt>
                <c:pt idx="7">
                  <c:v>11.6</c:v>
                </c:pt>
                <c:pt idx="8">
                  <c:v>12.5</c:v>
                </c:pt>
                <c:pt idx="9">
                  <c:v>12.5</c:v>
                </c:pt>
                <c:pt idx="10">
                  <c:v>13.7</c:v>
                </c:pt>
                <c:pt idx="11">
                  <c:v>15.4</c:v>
                </c:pt>
                <c:pt idx="12">
                  <c:v>15.5</c:v>
                </c:pt>
                <c:pt idx="13">
                  <c:v>16.100000000000001</c:v>
                </c:pt>
                <c:pt idx="14">
                  <c:v>16.7</c:v>
                </c:pt>
                <c:pt idx="15">
                  <c:v>18.2</c:v>
                </c:pt>
                <c:pt idx="16">
                  <c:v>18.7</c:v>
                </c:pt>
                <c:pt idx="17">
                  <c:v>20.100000000000001</c:v>
                </c:pt>
                <c:pt idx="18">
                  <c:v>20.7</c:v>
                </c:pt>
                <c:pt idx="19">
                  <c:v>21</c:v>
                </c:pt>
                <c:pt idx="20">
                  <c:v>22.6</c:v>
                </c:pt>
                <c:pt idx="21">
                  <c:v>23.5</c:v>
                </c:pt>
                <c:pt idx="22">
                  <c:v>23.8</c:v>
                </c:pt>
                <c:pt idx="23">
                  <c:v>25.8</c:v>
                </c:pt>
                <c:pt idx="24">
                  <c:v>26.5</c:v>
                </c:pt>
                <c:pt idx="25">
                  <c:v>27.7</c:v>
                </c:pt>
                <c:pt idx="26">
                  <c:v>28.2</c:v>
                </c:pt>
                <c:pt idx="27">
                  <c:v>28.4</c:v>
                </c:pt>
                <c:pt idx="28">
                  <c:v>28.6</c:v>
                </c:pt>
                <c:pt idx="29">
                  <c:v>28.7</c:v>
                </c:pt>
                <c:pt idx="30">
                  <c:v>29.2</c:v>
                </c:pt>
                <c:pt idx="31">
                  <c:v>29.2</c:v>
                </c:pt>
                <c:pt idx="32">
                  <c:v>29.3</c:v>
                </c:pt>
                <c:pt idx="33">
                  <c:v>30</c:v>
                </c:pt>
                <c:pt idx="34">
                  <c:v>30.1</c:v>
                </c:pt>
                <c:pt idx="35">
                  <c:v>30.5</c:v>
                </c:pt>
                <c:pt idx="36">
                  <c:v>31.3</c:v>
                </c:pt>
                <c:pt idx="37">
                  <c:v>31.7</c:v>
                </c:pt>
                <c:pt idx="38">
                  <c:v>31.9</c:v>
                </c:pt>
                <c:pt idx="39">
                  <c:v>32</c:v>
                </c:pt>
                <c:pt idx="40">
                  <c:v>32.1</c:v>
                </c:pt>
                <c:pt idx="41">
                  <c:v>32.4</c:v>
                </c:pt>
                <c:pt idx="42">
                  <c:v>32.9</c:v>
                </c:pt>
                <c:pt idx="43">
                  <c:v>32.9</c:v>
                </c:pt>
                <c:pt idx="44">
                  <c:v>33.200000000000003</c:v>
                </c:pt>
                <c:pt idx="45">
                  <c:v>33.4</c:v>
                </c:pt>
                <c:pt idx="46">
                  <c:v>33.799999999999997</c:v>
                </c:pt>
                <c:pt idx="47">
                  <c:v>34.200000000000003</c:v>
                </c:pt>
                <c:pt idx="48">
                  <c:v>34.299999999999997</c:v>
                </c:pt>
                <c:pt idx="49">
                  <c:v>34.700000000000003</c:v>
                </c:pt>
                <c:pt idx="50">
                  <c:v>34.9</c:v>
                </c:pt>
                <c:pt idx="51">
                  <c:v>35</c:v>
                </c:pt>
                <c:pt idx="52">
                  <c:v>35.5</c:v>
                </c:pt>
                <c:pt idx="53">
                  <c:v>35.5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36</c:v>
                </c:pt>
                <c:pt idx="57">
                  <c:v>38.200000000000003</c:v>
                </c:pt>
                <c:pt idx="58">
                  <c:v>38.700000000000003</c:v>
                </c:pt>
                <c:pt idx="59">
                  <c:v>39</c:v>
                </c:pt>
                <c:pt idx="60">
                  <c:v>40</c:v>
                </c:pt>
                <c:pt idx="61">
                  <c:v>40.4</c:v>
                </c:pt>
                <c:pt idx="62">
                  <c:v>40.4</c:v>
                </c:pt>
                <c:pt idx="63">
                  <c:v>40.799999999999997</c:v>
                </c:pt>
                <c:pt idx="64">
                  <c:v>40.9</c:v>
                </c:pt>
                <c:pt idx="65">
                  <c:v>41.2</c:v>
                </c:pt>
                <c:pt idx="66">
                  <c:v>41.3</c:v>
                </c:pt>
                <c:pt idx="67">
                  <c:v>41.4</c:v>
                </c:pt>
                <c:pt idx="68">
                  <c:v>41.7</c:v>
                </c:pt>
                <c:pt idx="69">
                  <c:v>41.8</c:v>
                </c:pt>
                <c:pt idx="70">
                  <c:v>41.8</c:v>
                </c:pt>
                <c:pt idx="71">
                  <c:v>42</c:v>
                </c:pt>
                <c:pt idx="72">
                  <c:v>42.1</c:v>
                </c:pt>
                <c:pt idx="73">
                  <c:v>42.4</c:v>
                </c:pt>
                <c:pt idx="74">
                  <c:v>42.4</c:v>
                </c:pt>
                <c:pt idx="75">
                  <c:v>43.4</c:v>
                </c:pt>
                <c:pt idx="76">
                  <c:v>43.6</c:v>
                </c:pt>
                <c:pt idx="77">
                  <c:v>43.6</c:v>
                </c:pt>
                <c:pt idx="78">
                  <c:v>43.7</c:v>
                </c:pt>
                <c:pt idx="79">
                  <c:v>44</c:v>
                </c:pt>
                <c:pt idx="80">
                  <c:v>44.4</c:v>
                </c:pt>
                <c:pt idx="81">
                  <c:v>44.4</c:v>
                </c:pt>
                <c:pt idx="82">
                  <c:v>44.6</c:v>
                </c:pt>
                <c:pt idx="83">
                  <c:v>44.7</c:v>
                </c:pt>
                <c:pt idx="84">
                  <c:v>44.7</c:v>
                </c:pt>
                <c:pt idx="85">
                  <c:v>44.9</c:v>
                </c:pt>
                <c:pt idx="86">
                  <c:v>45.2</c:v>
                </c:pt>
                <c:pt idx="87">
                  <c:v>45.3</c:v>
                </c:pt>
                <c:pt idx="88">
                  <c:v>45.3</c:v>
                </c:pt>
                <c:pt idx="89">
                  <c:v>45.5</c:v>
                </c:pt>
                <c:pt idx="90">
                  <c:v>45.7</c:v>
                </c:pt>
                <c:pt idx="91">
                  <c:v>46</c:v>
                </c:pt>
                <c:pt idx="92">
                  <c:v>46.2</c:v>
                </c:pt>
                <c:pt idx="93">
                  <c:v>46.3</c:v>
                </c:pt>
                <c:pt idx="94">
                  <c:v>47</c:v>
                </c:pt>
                <c:pt idx="95">
                  <c:v>47.3</c:v>
                </c:pt>
                <c:pt idx="96">
                  <c:v>47.4</c:v>
                </c:pt>
                <c:pt idx="97">
                  <c:v>47.5</c:v>
                </c:pt>
                <c:pt idx="98">
                  <c:v>47.8</c:v>
                </c:pt>
                <c:pt idx="99">
                  <c:v>47.9</c:v>
                </c:pt>
                <c:pt idx="100">
                  <c:v>48.6</c:v>
                </c:pt>
                <c:pt idx="101">
                  <c:v>49</c:v>
                </c:pt>
                <c:pt idx="102">
                  <c:v>49</c:v>
                </c:pt>
                <c:pt idx="103">
                  <c:v>49.1</c:v>
                </c:pt>
                <c:pt idx="104">
                  <c:v>49.2</c:v>
                </c:pt>
                <c:pt idx="105">
                  <c:v>49.3</c:v>
                </c:pt>
                <c:pt idx="106">
                  <c:v>49.4</c:v>
                </c:pt>
                <c:pt idx="107">
                  <c:v>49.6</c:v>
                </c:pt>
                <c:pt idx="108">
                  <c:v>49.7</c:v>
                </c:pt>
                <c:pt idx="109">
                  <c:v>50</c:v>
                </c:pt>
                <c:pt idx="110">
                  <c:v>50.1</c:v>
                </c:pt>
                <c:pt idx="111">
                  <c:v>50.1</c:v>
                </c:pt>
                <c:pt idx="112">
                  <c:v>50.3</c:v>
                </c:pt>
                <c:pt idx="113">
                  <c:v>50.3</c:v>
                </c:pt>
                <c:pt idx="114">
                  <c:v>50.5</c:v>
                </c:pt>
                <c:pt idx="115">
                  <c:v>50.5</c:v>
                </c:pt>
                <c:pt idx="116">
                  <c:v>50.8</c:v>
                </c:pt>
                <c:pt idx="117">
                  <c:v>50.9</c:v>
                </c:pt>
                <c:pt idx="118">
                  <c:v>51</c:v>
                </c:pt>
                <c:pt idx="119">
                  <c:v>51</c:v>
                </c:pt>
                <c:pt idx="120">
                  <c:v>51.1</c:v>
                </c:pt>
                <c:pt idx="121">
                  <c:v>51.3</c:v>
                </c:pt>
                <c:pt idx="122">
                  <c:v>51.4</c:v>
                </c:pt>
                <c:pt idx="123">
                  <c:v>51.6</c:v>
                </c:pt>
                <c:pt idx="124">
                  <c:v>51.7</c:v>
                </c:pt>
                <c:pt idx="125">
                  <c:v>51.7</c:v>
                </c:pt>
                <c:pt idx="126">
                  <c:v>51.7</c:v>
                </c:pt>
                <c:pt idx="127">
                  <c:v>51.8</c:v>
                </c:pt>
                <c:pt idx="128">
                  <c:v>52</c:v>
                </c:pt>
                <c:pt idx="129">
                  <c:v>52.1</c:v>
                </c:pt>
                <c:pt idx="130">
                  <c:v>52.1</c:v>
                </c:pt>
                <c:pt idx="131">
                  <c:v>52.5</c:v>
                </c:pt>
                <c:pt idx="132">
                  <c:v>52.6</c:v>
                </c:pt>
                <c:pt idx="133">
                  <c:v>52.6</c:v>
                </c:pt>
                <c:pt idx="134">
                  <c:v>52.7</c:v>
                </c:pt>
                <c:pt idx="135">
                  <c:v>53</c:v>
                </c:pt>
                <c:pt idx="136">
                  <c:v>53.1</c:v>
                </c:pt>
                <c:pt idx="137">
                  <c:v>53.3</c:v>
                </c:pt>
                <c:pt idx="138">
                  <c:v>53.3</c:v>
                </c:pt>
                <c:pt idx="139">
                  <c:v>53.5</c:v>
                </c:pt>
                <c:pt idx="140">
                  <c:v>53.6</c:v>
                </c:pt>
                <c:pt idx="141">
                  <c:v>53.7</c:v>
                </c:pt>
                <c:pt idx="142">
                  <c:v>54</c:v>
                </c:pt>
                <c:pt idx="143">
                  <c:v>54.2</c:v>
                </c:pt>
                <c:pt idx="144">
                  <c:v>54.3</c:v>
                </c:pt>
                <c:pt idx="145">
                  <c:v>54.7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55.1</c:v>
                </c:pt>
                <c:pt idx="150">
                  <c:v>55.3</c:v>
                </c:pt>
                <c:pt idx="151">
                  <c:v>55.4</c:v>
                </c:pt>
                <c:pt idx="152">
                  <c:v>55.6</c:v>
                </c:pt>
                <c:pt idx="153">
                  <c:v>55.6</c:v>
                </c:pt>
                <c:pt idx="154">
                  <c:v>55.7</c:v>
                </c:pt>
                <c:pt idx="155">
                  <c:v>55.7</c:v>
                </c:pt>
                <c:pt idx="156">
                  <c:v>56</c:v>
                </c:pt>
                <c:pt idx="157">
                  <c:v>56.2</c:v>
                </c:pt>
                <c:pt idx="158">
                  <c:v>56.3</c:v>
                </c:pt>
                <c:pt idx="159">
                  <c:v>56.3</c:v>
                </c:pt>
                <c:pt idx="160">
                  <c:v>56.3</c:v>
                </c:pt>
                <c:pt idx="161">
                  <c:v>56.4</c:v>
                </c:pt>
                <c:pt idx="162">
                  <c:v>56.5</c:v>
                </c:pt>
                <c:pt idx="163">
                  <c:v>56.5</c:v>
                </c:pt>
                <c:pt idx="164">
                  <c:v>56.7</c:v>
                </c:pt>
                <c:pt idx="165">
                  <c:v>56.7</c:v>
                </c:pt>
                <c:pt idx="166">
                  <c:v>56.8</c:v>
                </c:pt>
                <c:pt idx="167">
                  <c:v>56.9</c:v>
                </c:pt>
                <c:pt idx="168">
                  <c:v>57.1</c:v>
                </c:pt>
                <c:pt idx="169">
                  <c:v>57.2</c:v>
                </c:pt>
                <c:pt idx="170">
                  <c:v>57.2</c:v>
                </c:pt>
                <c:pt idx="171">
                  <c:v>57.6</c:v>
                </c:pt>
                <c:pt idx="172">
                  <c:v>57.6</c:v>
                </c:pt>
                <c:pt idx="173">
                  <c:v>57.7</c:v>
                </c:pt>
                <c:pt idx="174">
                  <c:v>57.7</c:v>
                </c:pt>
                <c:pt idx="175">
                  <c:v>58</c:v>
                </c:pt>
                <c:pt idx="176">
                  <c:v>58.1</c:v>
                </c:pt>
                <c:pt idx="177">
                  <c:v>58.3</c:v>
                </c:pt>
                <c:pt idx="178">
                  <c:v>58.4</c:v>
                </c:pt>
                <c:pt idx="179">
                  <c:v>58.5</c:v>
                </c:pt>
                <c:pt idx="180">
                  <c:v>58.8</c:v>
                </c:pt>
                <c:pt idx="181">
                  <c:v>58.9</c:v>
                </c:pt>
                <c:pt idx="182">
                  <c:v>59.1</c:v>
                </c:pt>
                <c:pt idx="183">
                  <c:v>59.4</c:v>
                </c:pt>
                <c:pt idx="184">
                  <c:v>59.5</c:v>
                </c:pt>
                <c:pt idx="185">
                  <c:v>59.5</c:v>
                </c:pt>
                <c:pt idx="186">
                  <c:v>59.6</c:v>
                </c:pt>
                <c:pt idx="187">
                  <c:v>59.6</c:v>
                </c:pt>
                <c:pt idx="188">
                  <c:v>59.7</c:v>
                </c:pt>
                <c:pt idx="189">
                  <c:v>59.8</c:v>
                </c:pt>
                <c:pt idx="190">
                  <c:v>60.1</c:v>
                </c:pt>
                <c:pt idx="191">
                  <c:v>60.2</c:v>
                </c:pt>
                <c:pt idx="192">
                  <c:v>60.3</c:v>
                </c:pt>
                <c:pt idx="193">
                  <c:v>60.3</c:v>
                </c:pt>
                <c:pt idx="194">
                  <c:v>60.4</c:v>
                </c:pt>
                <c:pt idx="195">
                  <c:v>60.4</c:v>
                </c:pt>
                <c:pt idx="196">
                  <c:v>60.5</c:v>
                </c:pt>
                <c:pt idx="197">
                  <c:v>60.6</c:v>
                </c:pt>
                <c:pt idx="198">
                  <c:v>60.6</c:v>
                </c:pt>
                <c:pt idx="199">
                  <c:v>60.7</c:v>
                </c:pt>
                <c:pt idx="200">
                  <c:v>60.8</c:v>
                </c:pt>
                <c:pt idx="201">
                  <c:v>60.8</c:v>
                </c:pt>
                <c:pt idx="202">
                  <c:v>61</c:v>
                </c:pt>
                <c:pt idx="203">
                  <c:v>61.1</c:v>
                </c:pt>
                <c:pt idx="204">
                  <c:v>61.1</c:v>
                </c:pt>
                <c:pt idx="205">
                  <c:v>61.2</c:v>
                </c:pt>
                <c:pt idx="206">
                  <c:v>61.6</c:v>
                </c:pt>
                <c:pt idx="207">
                  <c:v>61.8</c:v>
                </c:pt>
                <c:pt idx="208">
                  <c:v>61.9</c:v>
                </c:pt>
                <c:pt idx="209">
                  <c:v>62.1</c:v>
                </c:pt>
                <c:pt idx="210">
                  <c:v>62.1</c:v>
                </c:pt>
                <c:pt idx="211">
                  <c:v>62.1</c:v>
                </c:pt>
                <c:pt idx="212">
                  <c:v>62.2</c:v>
                </c:pt>
                <c:pt idx="213">
                  <c:v>62.2</c:v>
                </c:pt>
                <c:pt idx="214">
                  <c:v>62.2</c:v>
                </c:pt>
                <c:pt idx="215">
                  <c:v>62.2</c:v>
                </c:pt>
                <c:pt idx="216">
                  <c:v>62.4</c:v>
                </c:pt>
                <c:pt idx="217">
                  <c:v>62.4</c:v>
                </c:pt>
                <c:pt idx="218">
                  <c:v>62.5</c:v>
                </c:pt>
                <c:pt idx="219">
                  <c:v>62.5</c:v>
                </c:pt>
                <c:pt idx="220">
                  <c:v>62.6</c:v>
                </c:pt>
                <c:pt idx="221">
                  <c:v>62.9</c:v>
                </c:pt>
                <c:pt idx="222">
                  <c:v>62.9</c:v>
                </c:pt>
                <c:pt idx="223">
                  <c:v>62.9</c:v>
                </c:pt>
                <c:pt idx="224">
                  <c:v>62.9</c:v>
                </c:pt>
                <c:pt idx="225">
                  <c:v>63</c:v>
                </c:pt>
                <c:pt idx="226">
                  <c:v>63</c:v>
                </c:pt>
                <c:pt idx="227">
                  <c:v>63.2</c:v>
                </c:pt>
                <c:pt idx="228">
                  <c:v>63.2</c:v>
                </c:pt>
                <c:pt idx="229">
                  <c:v>63.3</c:v>
                </c:pt>
                <c:pt idx="230">
                  <c:v>63.4</c:v>
                </c:pt>
                <c:pt idx="231">
                  <c:v>63.4</c:v>
                </c:pt>
                <c:pt idx="232">
                  <c:v>63.4</c:v>
                </c:pt>
                <c:pt idx="233">
                  <c:v>63.7</c:v>
                </c:pt>
                <c:pt idx="234">
                  <c:v>63.8</c:v>
                </c:pt>
                <c:pt idx="235">
                  <c:v>63.9</c:v>
                </c:pt>
                <c:pt idx="236">
                  <c:v>64</c:v>
                </c:pt>
                <c:pt idx="237">
                  <c:v>64.2</c:v>
                </c:pt>
                <c:pt idx="238">
                  <c:v>64.2</c:v>
                </c:pt>
                <c:pt idx="239">
                  <c:v>64.2</c:v>
                </c:pt>
                <c:pt idx="240">
                  <c:v>64.3</c:v>
                </c:pt>
                <c:pt idx="241">
                  <c:v>64.3</c:v>
                </c:pt>
                <c:pt idx="242">
                  <c:v>64.400000000000006</c:v>
                </c:pt>
                <c:pt idx="243">
                  <c:v>64.5</c:v>
                </c:pt>
                <c:pt idx="244">
                  <c:v>64.7</c:v>
                </c:pt>
                <c:pt idx="245">
                  <c:v>64.8</c:v>
                </c:pt>
                <c:pt idx="246">
                  <c:v>65</c:v>
                </c:pt>
                <c:pt idx="247">
                  <c:v>65</c:v>
                </c:pt>
                <c:pt idx="248">
                  <c:v>65</c:v>
                </c:pt>
                <c:pt idx="249">
                  <c:v>65.2</c:v>
                </c:pt>
                <c:pt idx="250">
                  <c:v>65.2</c:v>
                </c:pt>
                <c:pt idx="251">
                  <c:v>65.2</c:v>
                </c:pt>
                <c:pt idx="252">
                  <c:v>65.3</c:v>
                </c:pt>
                <c:pt idx="253">
                  <c:v>65.3</c:v>
                </c:pt>
                <c:pt idx="254">
                  <c:v>65.3</c:v>
                </c:pt>
                <c:pt idx="255">
                  <c:v>65.400000000000006</c:v>
                </c:pt>
                <c:pt idx="256">
                  <c:v>65.400000000000006</c:v>
                </c:pt>
                <c:pt idx="257">
                  <c:v>65.5</c:v>
                </c:pt>
                <c:pt idx="258">
                  <c:v>65.7</c:v>
                </c:pt>
                <c:pt idx="259">
                  <c:v>65.7</c:v>
                </c:pt>
                <c:pt idx="260">
                  <c:v>65.8</c:v>
                </c:pt>
                <c:pt idx="261">
                  <c:v>65.900000000000006</c:v>
                </c:pt>
                <c:pt idx="262">
                  <c:v>65.900000000000006</c:v>
                </c:pt>
                <c:pt idx="263">
                  <c:v>66.2</c:v>
                </c:pt>
                <c:pt idx="264">
                  <c:v>66.3</c:v>
                </c:pt>
                <c:pt idx="265">
                  <c:v>66.3</c:v>
                </c:pt>
                <c:pt idx="266">
                  <c:v>66.400000000000006</c:v>
                </c:pt>
                <c:pt idx="267">
                  <c:v>66.400000000000006</c:v>
                </c:pt>
                <c:pt idx="268">
                  <c:v>66.599999999999994</c:v>
                </c:pt>
                <c:pt idx="269">
                  <c:v>67</c:v>
                </c:pt>
                <c:pt idx="270">
                  <c:v>67</c:v>
                </c:pt>
                <c:pt idx="271">
                  <c:v>67</c:v>
                </c:pt>
                <c:pt idx="272">
                  <c:v>67.099999999999994</c:v>
                </c:pt>
                <c:pt idx="273">
                  <c:v>67.3</c:v>
                </c:pt>
                <c:pt idx="274">
                  <c:v>67.5</c:v>
                </c:pt>
                <c:pt idx="275">
                  <c:v>67.5</c:v>
                </c:pt>
                <c:pt idx="276">
                  <c:v>67.7</c:v>
                </c:pt>
                <c:pt idx="277">
                  <c:v>67.900000000000006</c:v>
                </c:pt>
                <c:pt idx="278">
                  <c:v>67.900000000000006</c:v>
                </c:pt>
                <c:pt idx="279">
                  <c:v>68</c:v>
                </c:pt>
                <c:pt idx="280">
                  <c:v>68.2</c:v>
                </c:pt>
                <c:pt idx="281">
                  <c:v>68.400000000000006</c:v>
                </c:pt>
                <c:pt idx="282">
                  <c:v>68.7</c:v>
                </c:pt>
                <c:pt idx="283">
                  <c:v>68.7</c:v>
                </c:pt>
                <c:pt idx="284">
                  <c:v>68.7</c:v>
                </c:pt>
                <c:pt idx="285">
                  <c:v>68.900000000000006</c:v>
                </c:pt>
                <c:pt idx="286">
                  <c:v>68.900000000000006</c:v>
                </c:pt>
                <c:pt idx="287">
                  <c:v>69.2</c:v>
                </c:pt>
                <c:pt idx="288">
                  <c:v>69.3</c:v>
                </c:pt>
                <c:pt idx="289">
                  <c:v>69.3</c:v>
                </c:pt>
                <c:pt idx="290">
                  <c:v>69.3</c:v>
                </c:pt>
                <c:pt idx="291">
                  <c:v>69.400000000000006</c:v>
                </c:pt>
                <c:pt idx="292">
                  <c:v>69.5</c:v>
                </c:pt>
                <c:pt idx="293">
                  <c:v>69.5</c:v>
                </c:pt>
                <c:pt idx="294">
                  <c:v>69.599999999999994</c:v>
                </c:pt>
                <c:pt idx="295">
                  <c:v>69.599999999999994</c:v>
                </c:pt>
                <c:pt idx="296">
                  <c:v>69.7</c:v>
                </c:pt>
                <c:pt idx="297">
                  <c:v>69.7</c:v>
                </c:pt>
                <c:pt idx="298">
                  <c:v>69.900000000000006</c:v>
                </c:pt>
                <c:pt idx="299">
                  <c:v>70</c:v>
                </c:pt>
                <c:pt idx="300">
                  <c:v>70.099999999999994</c:v>
                </c:pt>
                <c:pt idx="301">
                  <c:v>70.3</c:v>
                </c:pt>
                <c:pt idx="302">
                  <c:v>70.400000000000006</c:v>
                </c:pt>
                <c:pt idx="303">
                  <c:v>70.5</c:v>
                </c:pt>
                <c:pt idx="304">
                  <c:v>70.599999999999994</c:v>
                </c:pt>
                <c:pt idx="305">
                  <c:v>70.599999999999994</c:v>
                </c:pt>
                <c:pt idx="306">
                  <c:v>70.7</c:v>
                </c:pt>
                <c:pt idx="307">
                  <c:v>70.8</c:v>
                </c:pt>
                <c:pt idx="308">
                  <c:v>71.2</c:v>
                </c:pt>
                <c:pt idx="309">
                  <c:v>71.3</c:v>
                </c:pt>
                <c:pt idx="310">
                  <c:v>71.3</c:v>
                </c:pt>
                <c:pt idx="311">
                  <c:v>71.400000000000006</c:v>
                </c:pt>
                <c:pt idx="312">
                  <c:v>71.400000000000006</c:v>
                </c:pt>
                <c:pt idx="313">
                  <c:v>71.5</c:v>
                </c:pt>
                <c:pt idx="314">
                  <c:v>71.8</c:v>
                </c:pt>
                <c:pt idx="315">
                  <c:v>71.900000000000006</c:v>
                </c:pt>
                <c:pt idx="316">
                  <c:v>72</c:v>
                </c:pt>
                <c:pt idx="317">
                  <c:v>72.2</c:v>
                </c:pt>
                <c:pt idx="318">
                  <c:v>72.2</c:v>
                </c:pt>
                <c:pt idx="319">
                  <c:v>72.2</c:v>
                </c:pt>
                <c:pt idx="320">
                  <c:v>72.2</c:v>
                </c:pt>
                <c:pt idx="321">
                  <c:v>72.2</c:v>
                </c:pt>
                <c:pt idx="322">
                  <c:v>72.599999999999994</c:v>
                </c:pt>
                <c:pt idx="323">
                  <c:v>72.599999999999994</c:v>
                </c:pt>
                <c:pt idx="324">
                  <c:v>72.7</c:v>
                </c:pt>
                <c:pt idx="325">
                  <c:v>72.7</c:v>
                </c:pt>
                <c:pt idx="326">
                  <c:v>73</c:v>
                </c:pt>
                <c:pt idx="327">
                  <c:v>73.099999999999994</c:v>
                </c:pt>
                <c:pt idx="328">
                  <c:v>73.099999999999994</c:v>
                </c:pt>
                <c:pt idx="329">
                  <c:v>73.2</c:v>
                </c:pt>
                <c:pt idx="330">
                  <c:v>73.3</c:v>
                </c:pt>
                <c:pt idx="331">
                  <c:v>73.5</c:v>
                </c:pt>
                <c:pt idx="332">
                  <c:v>73.599999999999994</c:v>
                </c:pt>
                <c:pt idx="333">
                  <c:v>73.599999999999994</c:v>
                </c:pt>
                <c:pt idx="334">
                  <c:v>73.599999999999994</c:v>
                </c:pt>
                <c:pt idx="335">
                  <c:v>73.7</c:v>
                </c:pt>
                <c:pt idx="336">
                  <c:v>73.8</c:v>
                </c:pt>
                <c:pt idx="337">
                  <c:v>73.8</c:v>
                </c:pt>
                <c:pt idx="338">
                  <c:v>73.900000000000006</c:v>
                </c:pt>
                <c:pt idx="339">
                  <c:v>73.900000000000006</c:v>
                </c:pt>
                <c:pt idx="340">
                  <c:v>73.900000000000006</c:v>
                </c:pt>
                <c:pt idx="341">
                  <c:v>74</c:v>
                </c:pt>
                <c:pt idx="342">
                  <c:v>74</c:v>
                </c:pt>
                <c:pt idx="343">
                  <c:v>74.099999999999994</c:v>
                </c:pt>
                <c:pt idx="344">
                  <c:v>74.599999999999994</c:v>
                </c:pt>
                <c:pt idx="345">
                  <c:v>74.599999999999994</c:v>
                </c:pt>
                <c:pt idx="346">
                  <c:v>74.900000000000006</c:v>
                </c:pt>
                <c:pt idx="347">
                  <c:v>75.099999999999994</c:v>
                </c:pt>
                <c:pt idx="348">
                  <c:v>75.099999999999994</c:v>
                </c:pt>
                <c:pt idx="349">
                  <c:v>75.2</c:v>
                </c:pt>
                <c:pt idx="350">
                  <c:v>75.2</c:v>
                </c:pt>
                <c:pt idx="351">
                  <c:v>75.3</c:v>
                </c:pt>
                <c:pt idx="352">
                  <c:v>75.5</c:v>
                </c:pt>
                <c:pt idx="353">
                  <c:v>75.5</c:v>
                </c:pt>
                <c:pt idx="354">
                  <c:v>75.5</c:v>
                </c:pt>
                <c:pt idx="355">
                  <c:v>75.599999999999994</c:v>
                </c:pt>
                <c:pt idx="356">
                  <c:v>75.8</c:v>
                </c:pt>
                <c:pt idx="357">
                  <c:v>75.8</c:v>
                </c:pt>
                <c:pt idx="358">
                  <c:v>75.8</c:v>
                </c:pt>
                <c:pt idx="359">
                  <c:v>75.900000000000006</c:v>
                </c:pt>
                <c:pt idx="360">
                  <c:v>76</c:v>
                </c:pt>
                <c:pt idx="361">
                  <c:v>76</c:v>
                </c:pt>
                <c:pt idx="362">
                  <c:v>76.099999999999994</c:v>
                </c:pt>
                <c:pt idx="363">
                  <c:v>76.3</c:v>
                </c:pt>
                <c:pt idx="364">
                  <c:v>76.3</c:v>
                </c:pt>
                <c:pt idx="365">
                  <c:v>76.3</c:v>
                </c:pt>
                <c:pt idx="366">
                  <c:v>76.3</c:v>
                </c:pt>
                <c:pt idx="367">
                  <c:v>76.5</c:v>
                </c:pt>
                <c:pt idx="368">
                  <c:v>76.5</c:v>
                </c:pt>
                <c:pt idx="369">
                  <c:v>76.599999999999994</c:v>
                </c:pt>
                <c:pt idx="370">
                  <c:v>76.7</c:v>
                </c:pt>
                <c:pt idx="371">
                  <c:v>76.7</c:v>
                </c:pt>
                <c:pt idx="372">
                  <c:v>76.8</c:v>
                </c:pt>
                <c:pt idx="373">
                  <c:v>77</c:v>
                </c:pt>
                <c:pt idx="374">
                  <c:v>77.400000000000006</c:v>
                </c:pt>
                <c:pt idx="375">
                  <c:v>77.5</c:v>
                </c:pt>
                <c:pt idx="376">
                  <c:v>77.599999999999994</c:v>
                </c:pt>
                <c:pt idx="377">
                  <c:v>77.599999999999994</c:v>
                </c:pt>
                <c:pt idx="378">
                  <c:v>77.7</c:v>
                </c:pt>
                <c:pt idx="379">
                  <c:v>78.099999999999994</c:v>
                </c:pt>
                <c:pt idx="380">
                  <c:v>78.099999999999994</c:v>
                </c:pt>
                <c:pt idx="381">
                  <c:v>78.099999999999994</c:v>
                </c:pt>
                <c:pt idx="382">
                  <c:v>78.2</c:v>
                </c:pt>
                <c:pt idx="383">
                  <c:v>78.3</c:v>
                </c:pt>
                <c:pt idx="384">
                  <c:v>78.3</c:v>
                </c:pt>
                <c:pt idx="385">
                  <c:v>78.400000000000006</c:v>
                </c:pt>
                <c:pt idx="386">
                  <c:v>78.400000000000006</c:v>
                </c:pt>
                <c:pt idx="387">
                  <c:v>78.400000000000006</c:v>
                </c:pt>
                <c:pt idx="388">
                  <c:v>78.8</c:v>
                </c:pt>
                <c:pt idx="389">
                  <c:v>78.900000000000006</c:v>
                </c:pt>
                <c:pt idx="390">
                  <c:v>78.900000000000006</c:v>
                </c:pt>
                <c:pt idx="391">
                  <c:v>79.3</c:v>
                </c:pt>
                <c:pt idx="392">
                  <c:v>79.3</c:v>
                </c:pt>
                <c:pt idx="393">
                  <c:v>79.400000000000006</c:v>
                </c:pt>
                <c:pt idx="394">
                  <c:v>79.599999999999994</c:v>
                </c:pt>
                <c:pt idx="395">
                  <c:v>79.7</c:v>
                </c:pt>
                <c:pt idx="396">
                  <c:v>79.7</c:v>
                </c:pt>
                <c:pt idx="397">
                  <c:v>80.3</c:v>
                </c:pt>
                <c:pt idx="398">
                  <c:v>80.400000000000006</c:v>
                </c:pt>
                <c:pt idx="399">
                  <c:v>80.5</c:v>
                </c:pt>
                <c:pt idx="400">
                  <c:v>80.8</c:v>
                </c:pt>
                <c:pt idx="401">
                  <c:v>80.8</c:v>
                </c:pt>
                <c:pt idx="402">
                  <c:v>80.900000000000006</c:v>
                </c:pt>
                <c:pt idx="403">
                  <c:v>81</c:v>
                </c:pt>
                <c:pt idx="404">
                  <c:v>81</c:v>
                </c:pt>
                <c:pt idx="405">
                  <c:v>81.3</c:v>
                </c:pt>
                <c:pt idx="406">
                  <c:v>81.400000000000006</c:v>
                </c:pt>
                <c:pt idx="407">
                  <c:v>81.400000000000006</c:v>
                </c:pt>
                <c:pt idx="408">
                  <c:v>81.400000000000006</c:v>
                </c:pt>
                <c:pt idx="409">
                  <c:v>81.400000000000006</c:v>
                </c:pt>
                <c:pt idx="410">
                  <c:v>81.7</c:v>
                </c:pt>
                <c:pt idx="411">
                  <c:v>81.7</c:v>
                </c:pt>
                <c:pt idx="412">
                  <c:v>81.7</c:v>
                </c:pt>
                <c:pt idx="413">
                  <c:v>81.7</c:v>
                </c:pt>
                <c:pt idx="414">
                  <c:v>81.900000000000006</c:v>
                </c:pt>
                <c:pt idx="415">
                  <c:v>81.900000000000006</c:v>
                </c:pt>
                <c:pt idx="416">
                  <c:v>82.2</c:v>
                </c:pt>
                <c:pt idx="417">
                  <c:v>82.3</c:v>
                </c:pt>
                <c:pt idx="418">
                  <c:v>82.4</c:v>
                </c:pt>
                <c:pt idx="419">
                  <c:v>82.7</c:v>
                </c:pt>
                <c:pt idx="420">
                  <c:v>82.7</c:v>
                </c:pt>
                <c:pt idx="421">
                  <c:v>82.9</c:v>
                </c:pt>
                <c:pt idx="422">
                  <c:v>84.2</c:v>
                </c:pt>
                <c:pt idx="423">
                  <c:v>84.4</c:v>
                </c:pt>
                <c:pt idx="424">
                  <c:v>84.4</c:v>
                </c:pt>
                <c:pt idx="425">
                  <c:v>84.8</c:v>
                </c:pt>
                <c:pt idx="426">
                  <c:v>85.1</c:v>
                </c:pt>
                <c:pt idx="427">
                  <c:v>85.1</c:v>
                </c:pt>
                <c:pt idx="428">
                  <c:v>85.4</c:v>
                </c:pt>
                <c:pt idx="429">
                  <c:v>85.9</c:v>
                </c:pt>
                <c:pt idx="430">
                  <c:v>86.6</c:v>
                </c:pt>
                <c:pt idx="431">
                  <c:v>86.6</c:v>
                </c:pt>
                <c:pt idx="432">
                  <c:v>86.8</c:v>
                </c:pt>
                <c:pt idx="433">
                  <c:v>87</c:v>
                </c:pt>
                <c:pt idx="434">
                  <c:v>87.4</c:v>
                </c:pt>
                <c:pt idx="435">
                  <c:v>87.7</c:v>
                </c:pt>
                <c:pt idx="436">
                  <c:v>88.2</c:v>
                </c:pt>
                <c:pt idx="437">
                  <c:v>88.3</c:v>
                </c:pt>
                <c:pt idx="438">
                  <c:v>88.3</c:v>
                </c:pt>
                <c:pt idx="439">
                  <c:v>88.6</c:v>
                </c:pt>
                <c:pt idx="440">
                  <c:v>88.7</c:v>
                </c:pt>
                <c:pt idx="441">
                  <c:v>89.3</c:v>
                </c:pt>
                <c:pt idx="442">
                  <c:v>89.4</c:v>
                </c:pt>
                <c:pt idx="443">
                  <c:v>89.4</c:v>
                </c:pt>
                <c:pt idx="444">
                  <c:v>89.4</c:v>
                </c:pt>
                <c:pt idx="445">
                  <c:v>89.4</c:v>
                </c:pt>
                <c:pt idx="446">
                  <c:v>89.5</c:v>
                </c:pt>
                <c:pt idx="447">
                  <c:v>89.6</c:v>
                </c:pt>
                <c:pt idx="448">
                  <c:v>89.7</c:v>
                </c:pt>
                <c:pt idx="449">
                  <c:v>89.8</c:v>
                </c:pt>
                <c:pt idx="450">
                  <c:v>89.9</c:v>
                </c:pt>
                <c:pt idx="451">
                  <c:v>90.5</c:v>
                </c:pt>
                <c:pt idx="452">
                  <c:v>90.7</c:v>
                </c:pt>
                <c:pt idx="453">
                  <c:v>91.1</c:v>
                </c:pt>
                <c:pt idx="454">
                  <c:v>91.2</c:v>
                </c:pt>
              </c:numCache>
            </c:numRef>
          </c:xVal>
          <c:yVal>
            <c:numRef>
              <c:f>'Working sheet'!$M$2:$M$456</c:f>
              <c:numCache>
                <c:formatCode>0.0</c:formatCode>
                <c:ptCount val="455"/>
                <c:pt idx="0">
                  <c:v>3263.9</c:v>
                </c:pt>
                <c:pt idx="1">
                  <c:v>2583.1</c:v>
                </c:pt>
                <c:pt idx="2">
                  <c:v>4145.3</c:v>
                </c:pt>
                <c:pt idx="3">
                  <c:v>3600.1</c:v>
                </c:pt>
                <c:pt idx="4">
                  <c:v>2427.4</c:v>
                </c:pt>
                <c:pt idx="5">
                  <c:v>2691.6</c:v>
                </c:pt>
                <c:pt idx="6">
                  <c:v>2815.6</c:v>
                </c:pt>
                <c:pt idx="7">
                  <c:v>2628.4</c:v>
                </c:pt>
                <c:pt idx="8">
                  <c:v>2426.6</c:v>
                </c:pt>
                <c:pt idx="9">
                  <c:v>2633.5</c:v>
                </c:pt>
                <c:pt idx="10">
                  <c:v>2915.2</c:v>
                </c:pt>
                <c:pt idx="11">
                  <c:v>2603.3000000000002</c:v>
                </c:pt>
                <c:pt idx="12">
                  <c:v>3456.9</c:v>
                </c:pt>
                <c:pt idx="13">
                  <c:v>2583.3000000000002</c:v>
                </c:pt>
                <c:pt idx="14">
                  <c:v>2525.1</c:v>
                </c:pt>
                <c:pt idx="15">
                  <c:v>2589.6999999999998</c:v>
                </c:pt>
                <c:pt idx="16">
                  <c:v>2639.9</c:v>
                </c:pt>
                <c:pt idx="17">
                  <c:v>2694.3</c:v>
                </c:pt>
                <c:pt idx="18">
                  <c:v>3756.5</c:v>
                </c:pt>
                <c:pt idx="19">
                  <c:v>2650</c:v>
                </c:pt>
                <c:pt idx="20">
                  <c:v>2831.7</c:v>
                </c:pt>
                <c:pt idx="21">
                  <c:v>2622</c:v>
                </c:pt>
                <c:pt idx="22">
                  <c:v>2995</c:v>
                </c:pt>
                <c:pt idx="23">
                  <c:v>3213.1</c:v>
                </c:pt>
                <c:pt idx="24">
                  <c:v>2816.8</c:v>
                </c:pt>
                <c:pt idx="25">
                  <c:v>3723.2</c:v>
                </c:pt>
                <c:pt idx="26">
                  <c:v>2942.7</c:v>
                </c:pt>
                <c:pt idx="27">
                  <c:v>3054.5</c:v>
                </c:pt>
                <c:pt idx="28">
                  <c:v>2729.3</c:v>
                </c:pt>
                <c:pt idx="29">
                  <c:v>2792.1</c:v>
                </c:pt>
                <c:pt idx="30">
                  <c:v>2623.9</c:v>
                </c:pt>
                <c:pt idx="31">
                  <c:v>2887.6</c:v>
                </c:pt>
                <c:pt idx="32">
                  <c:v>2621.4</c:v>
                </c:pt>
                <c:pt idx="33">
                  <c:v>3589.1</c:v>
                </c:pt>
                <c:pt idx="34">
                  <c:v>3700.6</c:v>
                </c:pt>
                <c:pt idx="35">
                  <c:v>2711.7</c:v>
                </c:pt>
                <c:pt idx="36">
                  <c:v>3185.8</c:v>
                </c:pt>
                <c:pt idx="37">
                  <c:v>2782.1</c:v>
                </c:pt>
                <c:pt idx="38">
                  <c:v>3195.2</c:v>
                </c:pt>
                <c:pt idx="39">
                  <c:v>3208</c:v>
                </c:pt>
                <c:pt idx="40">
                  <c:v>3028.1</c:v>
                </c:pt>
                <c:pt idx="41">
                  <c:v>2768.5</c:v>
                </c:pt>
                <c:pt idx="42">
                  <c:v>3209</c:v>
                </c:pt>
                <c:pt idx="43">
                  <c:v>4351.1000000000004</c:v>
                </c:pt>
                <c:pt idx="44">
                  <c:v>3195.2</c:v>
                </c:pt>
                <c:pt idx="45">
                  <c:v>3213.5</c:v>
                </c:pt>
                <c:pt idx="46">
                  <c:v>3209.1</c:v>
                </c:pt>
                <c:pt idx="47">
                  <c:v>2904.1</c:v>
                </c:pt>
                <c:pt idx="48">
                  <c:v>3213.1</c:v>
                </c:pt>
                <c:pt idx="49">
                  <c:v>2765.4</c:v>
                </c:pt>
                <c:pt idx="50">
                  <c:v>4696.5</c:v>
                </c:pt>
                <c:pt idx="51">
                  <c:v>3213.3</c:v>
                </c:pt>
                <c:pt idx="52">
                  <c:v>2866.2</c:v>
                </c:pt>
                <c:pt idx="53">
                  <c:v>2904.3</c:v>
                </c:pt>
                <c:pt idx="54">
                  <c:v>3192.2</c:v>
                </c:pt>
                <c:pt idx="55">
                  <c:v>3142</c:v>
                </c:pt>
                <c:pt idx="56">
                  <c:v>2762.7</c:v>
                </c:pt>
                <c:pt idx="57">
                  <c:v>3105.8</c:v>
                </c:pt>
                <c:pt idx="58">
                  <c:v>2844.2</c:v>
                </c:pt>
                <c:pt idx="59">
                  <c:v>2871.6</c:v>
                </c:pt>
                <c:pt idx="60">
                  <c:v>2988.7</c:v>
                </c:pt>
                <c:pt idx="61">
                  <c:v>2865.4</c:v>
                </c:pt>
                <c:pt idx="62">
                  <c:v>3165.1</c:v>
                </c:pt>
                <c:pt idx="63">
                  <c:v>2803.8</c:v>
                </c:pt>
                <c:pt idx="64">
                  <c:v>2956.6</c:v>
                </c:pt>
                <c:pt idx="65">
                  <c:v>2770.6</c:v>
                </c:pt>
                <c:pt idx="66">
                  <c:v>3060.9</c:v>
                </c:pt>
                <c:pt idx="67">
                  <c:v>3121.7</c:v>
                </c:pt>
                <c:pt idx="68">
                  <c:v>2876.7</c:v>
                </c:pt>
                <c:pt idx="69">
                  <c:v>2771.2</c:v>
                </c:pt>
                <c:pt idx="70">
                  <c:v>2810.4</c:v>
                </c:pt>
                <c:pt idx="71">
                  <c:v>2835.7</c:v>
                </c:pt>
                <c:pt idx="72">
                  <c:v>3185.8</c:v>
                </c:pt>
                <c:pt idx="73">
                  <c:v>3078.9</c:v>
                </c:pt>
                <c:pt idx="74">
                  <c:v>3168.4</c:v>
                </c:pt>
                <c:pt idx="75">
                  <c:v>3043.1</c:v>
                </c:pt>
                <c:pt idx="76">
                  <c:v>2575.6</c:v>
                </c:pt>
                <c:pt idx="77">
                  <c:v>3192.2</c:v>
                </c:pt>
                <c:pt idx="78">
                  <c:v>2912.6</c:v>
                </c:pt>
                <c:pt idx="79">
                  <c:v>2787.8</c:v>
                </c:pt>
                <c:pt idx="80">
                  <c:v>2720.8</c:v>
                </c:pt>
                <c:pt idx="81">
                  <c:v>3013.2</c:v>
                </c:pt>
                <c:pt idx="82">
                  <c:v>3192.3</c:v>
                </c:pt>
                <c:pt idx="83">
                  <c:v>2691.4</c:v>
                </c:pt>
                <c:pt idx="84">
                  <c:v>2878.5</c:v>
                </c:pt>
                <c:pt idx="85">
                  <c:v>2803.5</c:v>
                </c:pt>
                <c:pt idx="86">
                  <c:v>3251.7</c:v>
                </c:pt>
                <c:pt idx="87">
                  <c:v>2605.1</c:v>
                </c:pt>
                <c:pt idx="88">
                  <c:v>2806.9</c:v>
                </c:pt>
                <c:pt idx="89">
                  <c:v>3442.5</c:v>
                </c:pt>
                <c:pt idx="90">
                  <c:v>2982.5</c:v>
                </c:pt>
                <c:pt idx="91">
                  <c:v>2747.9</c:v>
                </c:pt>
                <c:pt idx="92">
                  <c:v>3513.8</c:v>
                </c:pt>
                <c:pt idx="93">
                  <c:v>2805</c:v>
                </c:pt>
                <c:pt idx="94">
                  <c:v>4035.9</c:v>
                </c:pt>
                <c:pt idx="95">
                  <c:v>3078.6</c:v>
                </c:pt>
                <c:pt idx="96">
                  <c:v>2579.1</c:v>
                </c:pt>
                <c:pt idx="97">
                  <c:v>2995.2</c:v>
                </c:pt>
                <c:pt idx="98">
                  <c:v>2989.8</c:v>
                </c:pt>
                <c:pt idx="99">
                  <c:v>2696.1</c:v>
                </c:pt>
                <c:pt idx="100">
                  <c:v>3126.6</c:v>
                </c:pt>
                <c:pt idx="101">
                  <c:v>2696.1</c:v>
                </c:pt>
                <c:pt idx="102">
                  <c:v>3111.5</c:v>
                </c:pt>
                <c:pt idx="103">
                  <c:v>3441.2</c:v>
                </c:pt>
                <c:pt idx="104">
                  <c:v>2675.1</c:v>
                </c:pt>
                <c:pt idx="105">
                  <c:v>2424.1999999999998</c:v>
                </c:pt>
                <c:pt idx="106">
                  <c:v>3125</c:v>
                </c:pt>
                <c:pt idx="107">
                  <c:v>3549.3</c:v>
                </c:pt>
                <c:pt idx="108">
                  <c:v>3192.2</c:v>
                </c:pt>
                <c:pt idx="109">
                  <c:v>3100.1</c:v>
                </c:pt>
                <c:pt idx="110">
                  <c:v>2696.1</c:v>
                </c:pt>
                <c:pt idx="111">
                  <c:v>2729.7</c:v>
                </c:pt>
                <c:pt idx="112">
                  <c:v>2568.1</c:v>
                </c:pt>
                <c:pt idx="113">
                  <c:v>2787.8</c:v>
                </c:pt>
                <c:pt idx="114">
                  <c:v>2817.5</c:v>
                </c:pt>
                <c:pt idx="115">
                  <c:v>3009.9</c:v>
                </c:pt>
                <c:pt idx="116">
                  <c:v>3410.8</c:v>
                </c:pt>
                <c:pt idx="117">
                  <c:v>2837.1</c:v>
                </c:pt>
                <c:pt idx="118">
                  <c:v>2864.7</c:v>
                </c:pt>
                <c:pt idx="119">
                  <c:v>3075.5</c:v>
                </c:pt>
                <c:pt idx="120">
                  <c:v>2966.1</c:v>
                </c:pt>
                <c:pt idx="121">
                  <c:v>2721.9</c:v>
                </c:pt>
                <c:pt idx="122">
                  <c:v>2802.1</c:v>
                </c:pt>
                <c:pt idx="123">
                  <c:v>2876.4</c:v>
                </c:pt>
                <c:pt idx="124">
                  <c:v>2750.7</c:v>
                </c:pt>
                <c:pt idx="125">
                  <c:v>2887.7</c:v>
                </c:pt>
                <c:pt idx="126">
                  <c:v>2914.9</c:v>
                </c:pt>
                <c:pt idx="127">
                  <c:v>2548</c:v>
                </c:pt>
                <c:pt idx="128">
                  <c:v>2708.1</c:v>
                </c:pt>
                <c:pt idx="129">
                  <c:v>2579.4</c:v>
                </c:pt>
                <c:pt idx="130">
                  <c:v>3435.4</c:v>
                </c:pt>
                <c:pt idx="131">
                  <c:v>2790</c:v>
                </c:pt>
                <c:pt idx="132">
                  <c:v>2589.6</c:v>
                </c:pt>
                <c:pt idx="133">
                  <c:v>2871.9</c:v>
                </c:pt>
                <c:pt idx="134">
                  <c:v>2617.6</c:v>
                </c:pt>
                <c:pt idx="135">
                  <c:v>2592</c:v>
                </c:pt>
                <c:pt idx="136">
                  <c:v>2717.3</c:v>
                </c:pt>
                <c:pt idx="137">
                  <c:v>2731.6</c:v>
                </c:pt>
                <c:pt idx="138">
                  <c:v>2787.8</c:v>
                </c:pt>
                <c:pt idx="139">
                  <c:v>2810.3</c:v>
                </c:pt>
                <c:pt idx="140">
                  <c:v>3104.1</c:v>
                </c:pt>
                <c:pt idx="141">
                  <c:v>2690.7</c:v>
                </c:pt>
                <c:pt idx="142">
                  <c:v>2425.1</c:v>
                </c:pt>
                <c:pt idx="143">
                  <c:v>2543</c:v>
                </c:pt>
                <c:pt idx="144">
                  <c:v>3068.9</c:v>
                </c:pt>
                <c:pt idx="145">
                  <c:v>2868.3</c:v>
                </c:pt>
                <c:pt idx="146">
                  <c:v>2585.1999999999998</c:v>
                </c:pt>
                <c:pt idx="147">
                  <c:v>2766.8</c:v>
                </c:pt>
                <c:pt idx="148">
                  <c:v>2856.7</c:v>
                </c:pt>
                <c:pt idx="149">
                  <c:v>2570.8000000000002</c:v>
                </c:pt>
                <c:pt idx="150">
                  <c:v>2720.8</c:v>
                </c:pt>
                <c:pt idx="151">
                  <c:v>3433</c:v>
                </c:pt>
                <c:pt idx="152">
                  <c:v>2590.3000000000002</c:v>
                </c:pt>
                <c:pt idx="153">
                  <c:v>3443.1</c:v>
                </c:pt>
                <c:pt idx="154">
                  <c:v>2894.2</c:v>
                </c:pt>
                <c:pt idx="155">
                  <c:v>2959.1</c:v>
                </c:pt>
                <c:pt idx="156">
                  <c:v>3251.1</c:v>
                </c:pt>
                <c:pt idx="157">
                  <c:v>3373.1</c:v>
                </c:pt>
                <c:pt idx="158">
                  <c:v>2569.3000000000002</c:v>
                </c:pt>
                <c:pt idx="159">
                  <c:v>2719.3</c:v>
                </c:pt>
                <c:pt idx="160">
                  <c:v>2756.6</c:v>
                </c:pt>
                <c:pt idx="161">
                  <c:v>2527.4</c:v>
                </c:pt>
                <c:pt idx="162">
                  <c:v>2656.9</c:v>
                </c:pt>
                <c:pt idx="163">
                  <c:v>2752</c:v>
                </c:pt>
                <c:pt idx="164">
                  <c:v>2733.8</c:v>
                </c:pt>
                <c:pt idx="165">
                  <c:v>2861.7</c:v>
                </c:pt>
                <c:pt idx="166">
                  <c:v>3035.5</c:v>
                </c:pt>
                <c:pt idx="167">
                  <c:v>2556.1</c:v>
                </c:pt>
                <c:pt idx="168">
                  <c:v>3083.5</c:v>
                </c:pt>
                <c:pt idx="169">
                  <c:v>2495.6</c:v>
                </c:pt>
                <c:pt idx="170">
                  <c:v>2592</c:v>
                </c:pt>
                <c:pt idx="171">
                  <c:v>2755</c:v>
                </c:pt>
                <c:pt idx="172">
                  <c:v>2812.5</c:v>
                </c:pt>
                <c:pt idx="173">
                  <c:v>2898.6</c:v>
                </c:pt>
                <c:pt idx="174">
                  <c:v>3418.6</c:v>
                </c:pt>
                <c:pt idx="175">
                  <c:v>2685.1</c:v>
                </c:pt>
                <c:pt idx="176">
                  <c:v>2585.1999999999998</c:v>
                </c:pt>
                <c:pt idx="177">
                  <c:v>2722.5</c:v>
                </c:pt>
                <c:pt idx="178">
                  <c:v>3118</c:v>
                </c:pt>
                <c:pt idx="179">
                  <c:v>2731.4</c:v>
                </c:pt>
                <c:pt idx="180">
                  <c:v>3037.4</c:v>
                </c:pt>
                <c:pt idx="181">
                  <c:v>2579.5</c:v>
                </c:pt>
                <c:pt idx="182">
                  <c:v>2433</c:v>
                </c:pt>
                <c:pt idx="183">
                  <c:v>3098.9</c:v>
                </c:pt>
                <c:pt idx="184">
                  <c:v>2672.7</c:v>
                </c:pt>
                <c:pt idx="185">
                  <c:v>2797.2</c:v>
                </c:pt>
                <c:pt idx="186">
                  <c:v>2603.1</c:v>
                </c:pt>
                <c:pt idx="187">
                  <c:v>3248.8</c:v>
                </c:pt>
                <c:pt idx="188">
                  <c:v>3055</c:v>
                </c:pt>
                <c:pt idx="189">
                  <c:v>2775</c:v>
                </c:pt>
                <c:pt idx="190">
                  <c:v>2805.8</c:v>
                </c:pt>
                <c:pt idx="191">
                  <c:v>3001.2</c:v>
                </c:pt>
                <c:pt idx="192">
                  <c:v>2523.1</c:v>
                </c:pt>
                <c:pt idx="193">
                  <c:v>3009.8</c:v>
                </c:pt>
                <c:pt idx="194">
                  <c:v>2715.6</c:v>
                </c:pt>
                <c:pt idx="195">
                  <c:v>2979.3</c:v>
                </c:pt>
                <c:pt idx="196">
                  <c:v>4162.8999999999996</c:v>
                </c:pt>
                <c:pt idx="197">
                  <c:v>2579.6</c:v>
                </c:pt>
                <c:pt idx="198">
                  <c:v>2846.8</c:v>
                </c:pt>
                <c:pt idx="199">
                  <c:v>2862.2</c:v>
                </c:pt>
                <c:pt idx="200">
                  <c:v>2679.5</c:v>
                </c:pt>
                <c:pt idx="201">
                  <c:v>2995.2</c:v>
                </c:pt>
                <c:pt idx="202">
                  <c:v>3055.7</c:v>
                </c:pt>
                <c:pt idx="203">
                  <c:v>2827</c:v>
                </c:pt>
                <c:pt idx="204">
                  <c:v>3027.3</c:v>
                </c:pt>
                <c:pt idx="205">
                  <c:v>2699.6</c:v>
                </c:pt>
                <c:pt idx="206">
                  <c:v>3436.5</c:v>
                </c:pt>
                <c:pt idx="207">
                  <c:v>2880.5</c:v>
                </c:pt>
                <c:pt idx="208">
                  <c:v>2535.9</c:v>
                </c:pt>
                <c:pt idx="209">
                  <c:v>2542</c:v>
                </c:pt>
                <c:pt idx="210">
                  <c:v>2979.7</c:v>
                </c:pt>
                <c:pt idx="211">
                  <c:v>3064.1</c:v>
                </c:pt>
                <c:pt idx="212">
                  <c:v>2554.6</c:v>
                </c:pt>
                <c:pt idx="213">
                  <c:v>2690.6</c:v>
                </c:pt>
                <c:pt idx="214">
                  <c:v>2677.4</c:v>
                </c:pt>
                <c:pt idx="215">
                  <c:v>2851.5</c:v>
                </c:pt>
                <c:pt idx="216">
                  <c:v>2497.6999999999998</c:v>
                </c:pt>
                <c:pt idx="217">
                  <c:v>2771.5</c:v>
                </c:pt>
                <c:pt idx="218">
                  <c:v>2530.1</c:v>
                </c:pt>
                <c:pt idx="219">
                  <c:v>2793.1</c:v>
                </c:pt>
                <c:pt idx="220">
                  <c:v>2524.5</c:v>
                </c:pt>
                <c:pt idx="221">
                  <c:v>2443.9</c:v>
                </c:pt>
                <c:pt idx="222">
                  <c:v>2518.8000000000002</c:v>
                </c:pt>
                <c:pt idx="223">
                  <c:v>2626.2</c:v>
                </c:pt>
                <c:pt idx="224">
                  <c:v>2754.7</c:v>
                </c:pt>
                <c:pt idx="225">
                  <c:v>2515.8000000000002</c:v>
                </c:pt>
                <c:pt idx="226">
                  <c:v>2904.4</c:v>
                </c:pt>
                <c:pt idx="227">
                  <c:v>2895.2</c:v>
                </c:pt>
                <c:pt idx="228">
                  <c:v>3407.6</c:v>
                </c:pt>
                <c:pt idx="229">
                  <c:v>2901.8</c:v>
                </c:pt>
                <c:pt idx="230">
                  <c:v>2483.9</c:v>
                </c:pt>
                <c:pt idx="231">
                  <c:v>2876.8</c:v>
                </c:pt>
                <c:pt idx="232">
                  <c:v>3160.6</c:v>
                </c:pt>
                <c:pt idx="233">
                  <c:v>2593.1</c:v>
                </c:pt>
                <c:pt idx="234">
                  <c:v>2757.3</c:v>
                </c:pt>
                <c:pt idx="235">
                  <c:v>2822.2</c:v>
                </c:pt>
                <c:pt idx="236">
                  <c:v>2787.8</c:v>
                </c:pt>
                <c:pt idx="237">
                  <c:v>2281.1</c:v>
                </c:pt>
                <c:pt idx="238">
                  <c:v>2708.2</c:v>
                </c:pt>
                <c:pt idx="239">
                  <c:v>2978.4</c:v>
                </c:pt>
                <c:pt idx="240">
                  <c:v>2543.1999999999998</c:v>
                </c:pt>
                <c:pt idx="241">
                  <c:v>3580.5</c:v>
                </c:pt>
                <c:pt idx="242">
                  <c:v>2451</c:v>
                </c:pt>
                <c:pt idx="243">
                  <c:v>2496.8000000000002</c:v>
                </c:pt>
                <c:pt idx="244">
                  <c:v>2530.3000000000002</c:v>
                </c:pt>
                <c:pt idx="245">
                  <c:v>2530.3000000000002</c:v>
                </c:pt>
                <c:pt idx="246">
                  <c:v>2605.6999999999998</c:v>
                </c:pt>
                <c:pt idx="247">
                  <c:v>2631.2</c:v>
                </c:pt>
                <c:pt idx="248">
                  <c:v>2978.6</c:v>
                </c:pt>
                <c:pt idx="249">
                  <c:v>2626.3</c:v>
                </c:pt>
                <c:pt idx="250">
                  <c:v>2626.3</c:v>
                </c:pt>
                <c:pt idx="251">
                  <c:v>2662.1</c:v>
                </c:pt>
                <c:pt idx="252">
                  <c:v>2552.3000000000002</c:v>
                </c:pt>
                <c:pt idx="253">
                  <c:v>2747</c:v>
                </c:pt>
                <c:pt idx="254">
                  <c:v>2880.8</c:v>
                </c:pt>
                <c:pt idx="255">
                  <c:v>2600.3000000000002</c:v>
                </c:pt>
                <c:pt idx="256">
                  <c:v>2707.2</c:v>
                </c:pt>
                <c:pt idx="257">
                  <c:v>2914</c:v>
                </c:pt>
                <c:pt idx="258">
                  <c:v>2812.8</c:v>
                </c:pt>
                <c:pt idx="259">
                  <c:v>3263.7</c:v>
                </c:pt>
                <c:pt idx="260">
                  <c:v>2510.3000000000002</c:v>
                </c:pt>
                <c:pt idx="261">
                  <c:v>2633</c:v>
                </c:pt>
                <c:pt idx="262">
                  <c:v>2707.8</c:v>
                </c:pt>
                <c:pt idx="263">
                  <c:v>2876.4</c:v>
                </c:pt>
                <c:pt idx="264">
                  <c:v>2775</c:v>
                </c:pt>
                <c:pt idx="265">
                  <c:v>2837.9</c:v>
                </c:pt>
                <c:pt idx="266">
                  <c:v>2736.8</c:v>
                </c:pt>
                <c:pt idx="267">
                  <c:v>2874</c:v>
                </c:pt>
                <c:pt idx="268">
                  <c:v>2609.6</c:v>
                </c:pt>
                <c:pt idx="269">
                  <c:v>2592</c:v>
                </c:pt>
                <c:pt idx="270">
                  <c:v>2780</c:v>
                </c:pt>
                <c:pt idx="271">
                  <c:v>2808.4</c:v>
                </c:pt>
                <c:pt idx="272">
                  <c:v>2588.3000000000002</c:v>
                </c:pt>
                <c:pt idx="273">
                  <c:v>2842</c:v>
                </c:pt>
                <c:pt idx="274">
                  <c:v>2832.6</c:v>
                </c:pt>
                <c:pt idx="275">
                  <c:v>2852.3</c:v>
                </c:pt>
                <c:pt idx="276">
                  <c:v>2852.6</c:v>
                </c:pt>
                <c:pt idx="277">
                  <c:v>2645.1</c:v>
                </c:pt>
                <c:pt idx="278">
                  <c:v>2735.1</c:v>
                </c:pt>
                <c:pt idx="279">
                  <c:v>2486.4</c:v>
                </c:pt>
                <c:pt idx="280">
                  <c:v>2596.8000000000002</c:v>
                </c:pt>
                <c:pt idx="281">
                  <c:v>2771.3</c:v>
                </c:pt>
                <c:pt idx="282">
                  <c:v>2682.3</c:v>
                </c:pt>
                <c:pt idx="283">
                  <c:v>2705.7</c:v>
                </c:pt>
                <c:pt idx="284">
                  <c:v>2818.2</c:v>
                </c:pt>
                <c:pt idx="285">
                  <c:v>2454.8000000000002</c:v>
                </c:pt>
                <c:pt idx="286">
                  <c:v>3034.3</c:v>
                </c:pt>
                <c:pt idx="287">
                  <c:v>2626.2</c:v>
                </c:pt>
                <c:pt idx="288">
                  <c:v>2631.2</c:v>
                </c:pt>
                <c:pt idx="289">
                  <c:v>2785.9</c:v>
                </c:pt>
                <c:pt idx="290">
                  <c:v>2817.3</c:v>
                </c:pt>
                <c:pt idx="291">
                  <c:v>2873.3</c:v>
                </c:pt>
                <c:pt idx="292">
                  <c:v>2836.8</c:v>
                </c:pt>
                <c:pt idx="293">
                  <c:v>2914.7</c:v>
                </c:pt>
                <c:pt idx="294">
                  <c:v>2437.6999999999998</c:v>
                </c:pt>
                <c:pt idx="295">
                  <c:v>2966.7</c:v>
                </c:pt>
                <c:pt idx="296">
                  <c:v>3042.7</c:v>
                </c:pt>
                <c:pt idx="297">
                  <c:v>2850.6</c:v>
                </c:pt>
                <c:pt idx="298">
                  <c:v>2839.1</c:v>
                </c:pt>
                <c:pt idx="299">
                  <c:v>2699</c:v>
                </c:pt>
                <c:pt idx="300">
                  <c:v>2474.6999999999998</c:v>
                </c:pt>
                <c:pt idx="301">
                  <c:v>2892.2</c:v>
                </c:pt>
                <c:pt idx="302">
                  <c:v>2511</c:v>
                </c:pt>
                <c:pt idx="303">
                  <c:v>2853</c:v>
                </c:pt>
                <c:pt idx="304">
                  <c:v>2495.9</c:v>
                </c:pt>
                <c:pt idx="305">
                  <c:v>2891.8</c:v>
                </c:pt>
                <c:pt idx="306">
                  <c:v>2654.5</c:v>
                </c:pt>
                <c:pt idx="307">
                  <c:v>2535.1999999999998</c:v>
                </c:pt>
                <c:pt idx="308">
                  <c:v>2852.4</c:v>
                </c:pt>
                <c:pt idx="309">
                  <c:v>2499.5</c:v>
                </c:pt>
                <c:pt idx="310">
                  <c:v>2975.9</c:v>
                </c:pt>
                <c:pt idx="311">
                  <c:v>2493.1</c:v>
                </c:pt>
                <c:pt idx="312">
                  <c:v>2543.8000000000002</c:v>
                </c:pt>
                <c:pt idx="313">
                  <c:v>2501.8000000000002</c:v>
                </c:pt>
                <c:pt idx="314">
                  <c:v>2628.1</c:v>
                </c:pt>
                <c:pt idx="315">
                  <c:v>2850.9</c:v>
                </c:pt>
                <c:pt idx="316">
                  <c:v>2816.9</c:v>
                </c:pt>
                <c:pt idx="317">
                  <c:v>2508.6999999999998</c:v>
                </c:pt>
                <c:pt idx="318">
                  <c:v>2564.9</c:v>
                </c:pt>
                <c:pt idx="319">
                  <c:v>2564.9</c:v>
                </c:pt>
                <c:pt idx="320">
                  <c:v>2585.9</c:v>
                </c:pt>
                <c:pt idx="321">
                  <c:v>2599.9</c:v>
                </c:pt>
                <c:pt idx="322">
                  <c:v>2521.3000000000002</c:v>
                </c:pt>
                <c:pt idx="323">
                  <c:v>2553.6999999999998</c:v>
                </c:pt>
                <c:pt idx="324">
                  <c:v>2543</c:v>
                </c:pt>
                <c:pt idx="325">
                  <c:v>2851.4</c:v>
                </c:pt>
                <c:pt idx="326">
                  <c:v>2940.2</c:v>
                </c:pt>
                <c:pt idx="327">
                  <c:v>2774.8</c:v>
                </c:pt>
                <c:pt idx="328">
                  <c:v>2818.6</c:v>
                </c:pt>
                <c:pt idx="329">
                  <c:v>2437.9</c:v>
                </c:pt>
                <c:pt idx="330">
                  <c:v>2486.1</c:v>
                </c:pt>
                <c:pt idx="331">
                  <c:v>2541.4</c:v>
                </c:pt>
                <c:pt idx="332">
                  <c:v>2501.3000000000002</c:v>
                </c:pt>
                <c:pt idx="333">
                  <c:v>2604.8000000000002</c:v>
                </c:pt>
                <c:pt idx="334">
                  <c:v>2655.4</c:v>
                </c:pt>
                <c:pt idx="335">
                  <c:v>2488.9</c:v>
                </c:pt>
                <c:pt idx="336">
                  <c:v>2500.4</c:v>
                </c:pt>
                <c:pt idx="337">
                  <c:v>2908.4</c:v>
                </c:pt>
                <c:pt idx="338">
                  <c:v>2560</c:v>
                </c:pt>
                <c:pt idx="339">
                  <c:v>2634.6</c:v>
                </c:pt>
                <c:pt idx="340">
                  <c:v>2928.6</c:v>
                </c:pt>
                <c:pt idx="341">
                  <c:v>2416.1999999999998</c:v>
                </c:pt>
                <c:pt idx="342">
                  <c:v>2561.5</c:v>
                </c:pt>
                <c:pt idx="343">
                  <c:v>2540.3000000000002</c:v>
                </c:pt>
                <c:pt idx="344">
                  <c:v>2563.6999999999998</c:v>
                </c:pt>
                <c:pt idx="345">
                  <c:v>2600</c:v>
                </c:pt>
                <c:pt idx="346">
                  <c:v>2578.6999999999998</c:v>
                </c:pt>
                <c:pt idx="347">
                  <c:v>2553</c:v>
                </c:pt>
                <c:pt idx="348">
                  <c:v>2591.4</c:v>
                </c:pt>
                <c:pt idx="349">
                  <c:v>2512.1999999999998</c:v>
                </c:pt>
                <c:pt idx="350">
                  <c:v>2593.5</c:v>
                </c:pt>
                <c:pt idx="351">
                  <c:v>2834.5</c:v>
                </c:pt>
                <c:pt idx="352">
                  <c:v>2583.1999999999998</c:v>
                </c:pt>
                <c:pt idx="353">
                  <c:v>2681.6</c:v>
                </c:pt>
                <c:pt idx="354">
                  <c:v>2674.7</c:v>
                </c:pt>
                <c:pt idx="355">
                  <c:v>2601.1999999999998</c:v>
                </c:pt>
                <c:pt idx="356">
                  <c:v>2551.1999999999998</c:v>
                </c:pt>
                <c:pt idx="357">
                  <c:v>2623.3</c:v>
                </c:pt>
                <c:pt idx="358">
                  <c:v>2695.4</c:v>
                </c:pt>
                <c:pt idx="359">
                  <c:v>2639.9</c:v>
                </c:pt>
                <c:pt idx="360">
                  <c:v>2561.6</c:v>
                </c:pt>
                <c:pt idx="361">
                  <c:v>2800.5</c:v>
                </c:pt>
                <c:pt idx="362">
                  <c:v>2681.2</c:v>
                </c:pt>
                <c:pt idx="363">
                  <c:v>2502.6999999999998</c:v>
                </c:pt>
                <c:pt idx="364">
                  <c:v>2598.5</c:v>
                </c:pt>
                <c:pt idx="365">
                  <c:v>2637.1</c:v>
                </c:pt>
                <c:pt idx="366">
                  <c:v>2978.4</c:v>
                </c:pt>
                <c:pt idx="367">
                  <c:v>2585.6</c:v>
                </c:pt>
                <c:pt idx="368">
                  <c:v>3009.2</c:v>
                </c:pt>
                <c:pt idx="369">
                  <c:v>2856</c:v>
                </c:pt>
                <c:pt idx="370">
                  <c:v>2721.2</c:v>
                </c:pt>
                <c:pt idx="371">
                  <c:v>2770.9</c:v>
                </c:pt>
                <c:pt idx="372">
                  <c:v>2501.3000000000002</c:v>
                </c:pt>
                <c:pt idx="373">
                  <c:v>2630.5</c:v>
                </c:pt>
                <c:pt idx="374">
                  <c:v>2798.3</c:v>
                </c:pt>
                <c:pt idx="375">
                  <c:v>2564.6999999999998</c:v>
                </c:pt>
                <c:pt idx="376">
                  <c:v>2454.8000000000002</c:v>
                </c:pt>
                <c:pt idx="377">
                  <c:v>2618.6</c:v>
                </c:pt>
                <c:pt idx="378">
                  <c:v>2531.6</c:v>
                </c:pt>
                <c:pt idx="379">
                  <c:v>2501.3000000000002</c:v>
                </c:pt>
                <c:pt idx="380">
                  <c:v>2674.1</c:v>
                </c:pt>
                <c:pt idx="381">
                  <c:v>2704.7</c:v>
                </c:pt>
                <c:pt idx="382">
                  <c:v>2602.6999999999998</c:v>
                </c:pt>
                <c:pt idx="383">
                  <c:v>2530.3000000000002</c:v>
                </c:pt>
                <c:pt idx="384">
                  <c:v>2544.5</c:v>
                </c:pt>
                <c:pt idx="385">
                  <c:v>2500.8000000000002</c:v>
                </c:pt>
                <c:pt idx="386">
                  <c:v>2577.8000000000002</c:v>
                </c:pt>
                <c:pt idx="387">
                  <c:v>2649.8</c:v>
                </c:pt>
                <c:pt idx="388">
                  <c:v>2404</c:v>
                </c:pt>
                <c:pt idx="389">
                  <c:v>2427.6999999999998</c:v>
                </c:pt>
                <c:pt idx="390">
                  <c:v>2770.4</c:v>
                </c:pt>
                <c:pt idx="391">
                  <c:v>2462.6999999999998</c:v>
                </c:pt>
                <c:pt idx="392">
                  <c:v>2511.9</c:v>
                </c:pt>
                <c:pt idx="393">
                  <c:v>2520</c:v>
                </c:pt>
                <c:pt idx="394">
                  <c:v>2556.4</c:v>
                </c:pt>
                <c:pt idx="395">
                  <c:v>2458.1999999999998</c:v>
                </c:pt>
                <c:pt idx="396">
                  <c:v>2849.8</c:v>
                </c:pt>
                <c:pt idx="397">
                  <c:v>2626.3</c:v>
                </c:pt>
                <c:pt idx="398">
                  <c:v>2509.1</c:v>
                </c:pt>
                <c:pt idx="399">
                  <c:v>2592.6</c:v>
                </c:pt>
                <c:pt idx="400">
                  <c:v>2540.6999999999998</c:v>
                </c:pt>
                <c:pt idx="401">
                  <c:v>2581.6</c:v>
                </c:pt>
                <c:pt idx="402">
                  <c:v>2523.1</c:v>
                </c:pt>
                <c:pt idx="403">
                  <c:v>2620.6</c:v>
                </c:pt>
                <c:pt idx="404">
                  <c:v>2645.9</c:v>
                </c:pt>
                <c:pt idx="405">
                  <c:v>2567.4</c:v>
                </c:pt>
                <c:pt idx="406">
                  <c:v>2502.6</c:v>
                </c:pt>
                <c:pt idx="407">
                  <c:v>2538</c:v>
                </c:pt>
                <c:pt idx="408">
                  <c:v>2626.3</c:v>
                </c:pt>
                <c:pt idx="409">
                  <c:v>2674</c:v>
                </c:pt>
                <c:pt idx="410">
                  <c:v>2486.1</c:v>
                </c:pt>
                <c:pt idx="411">
                  <c:v>2593.9</c:v>
                </c:pt>
                <c:pt idx="412">
                  <c:v>2626.8</c:v>
                </c:pt>
                <c:pt idx="413">
                  <c:v>2628.4</c:v>
                </c:pt>
                <c:pt idx="414">
                  <c:v>2503.6999999999998</c:v>
                </c:pt>
                <c:pt idx="415">
                  <c:v>2592.4</c:v>
                </c:pt>
                <c:pt idx="416">
                  <c:v>2565.1999999999998</c:v>
                </c:pt>
                <c:pt idx="417">
                  <c:v>2641.2</c:v>
                </c:pt>
                <c:pt idx="418">
                  <c:v>2492.1999999999998</c:v>
                </c:pt>
                <c:pt idx="419">
                  <c:v>2583.1999999999998</c:v>
                </c:pt>
                <c:pt idx="420">
                  <c:v>2975.9</c:v>
                </c:pt>
                <c:pt idx="421">
                  <c:v>2650.9</c:v>
                </c:pt>
                <c:pt idx="422">
                  <c:v>2572.9</c:v>
                </c:pt>
                <c:pt idx="423">
                  <c:v>2060.6</c:v>
                </c:pt>
                <c:pt idx="424">
                  <c:v>2629.3</c:v>
                </c:pt>
                <c:pt idx="425">
                  <c:v>2687.6</c:v>
                </c:pt>
                <c:pt idx="426">
                  <c:v>2493.4</c:v>
                </c:pt>
                <c:pt idx="427">
                  <c:v>2580.6</c:v>
                </c:pt>
                <c:pt idx="428">
                  <c:v>2577</c:v>
                </c:pt>
                <c:pt idx="429">
                  <c:v>2574.1</c:v>
                </c:pt>
                <c:pt idx="430">
                  <c:v>2446.5</c:v>
                </c:pt>
                <c:pt idx="431">
                  <c:v>2475</c:v>
                </c:pt>
                <c:pt idx="432">
                  <c:v>2548.4</c:v>
                </c:pt>
                <c:pt idx="433">
                  <c:v>2580.1999999999998</c:v>
                </c:pt>
                <c:pt idx="434">
                  <c:v>2527</c:v>
                </c:pt>
                <c:pt idx="435">
                  <c:v>2446.3000000000002</c:v>
                </c:pt>
                <c:pt idx="436">
                  <c:v>2634.2</c:v>
                </c:pt>
                <c:pt idx="437">
                  <c:v>2601.6999999999998</c:v>
                </c:pt>
                <c:pt idx="438">
                  <c:v>2612</c:v>
                </c:pt>
                <c:pt idx="439">
                  <c:v>2481.5</c:v>
                </c:pt>
                <c:pt idx="440">
                  <c:v>2702.4</c:v>
                </c:pt>
                <c:pt idx="441">
                  <c:v>2445.1999999999998</c:v>
                </c:pt>
                <c:pt idx="442">
                  <c:v>2566.3000000000002</c:v>
                </c:pt>
                <c:pt idx="443">
                  <c:v>2626</c:v>
                </c:pt>
                <c:pt idx="444">
                  <c:v>2627.3</c:v>
                </c:pt>
                <c:pt idx="445">
                  <c:v>2714.7</c:v>
                </c:pt>
                <c:pt idx="446">
                  <c:v>2549.9</c:v>
                </c:pt>
                <c:pt idx="447">
                  <c:v>2553.8000000000002</c:v>
                </c:pt>
                <c:pt idx="448">
                  <c:v>2554.6</c:v>
                </c:pt>
                <c:pt idx="449">
                  <c:v>2543.6</c:v>
                </c:pt>
                <c:pt idx="450">
                  <c:v>2511.6</c:v>
                </c:pt>
                <c:pt idx="451">
                  <c:v>2472.1</c:v>
                </c:pt>
                <c:pt idx="452">
                  <c:v>2506.8000000000002</c:v>
                </c:pt>
                <c:pt idx="453">
                  <c:v>2696.1</c:v>
                </c:pt>
                <c:pt idx="454">
                  <c:v>2470.6999999999998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1-EE4B-A91A-352DF9287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473840"/>
        <c:axId val="2072488544"/>
      </c:scatterChart>
      <c:valAx>
        <c:axId val="196847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488544"/>
        <c:crosses val="autoZero"/>
        <c:crossBetween val="midCat"/>
      </c:valAx>
      <c:valAx>
        <c:axId val="20724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47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196850</xdr:colOff>
      <xdr:row>419</xdr:row>
      <xdr:rowOff>38100</xdr:rowOff>
    </xdr:from>
    <xdr:to>
      <xdr:col>28</xdr:col>
      <xdr:colOff>88900</xdr:colOff>
      <xdr:row>448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70560F-F6B5-EF2A-224B-AEF2B43BB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7"/>
  <sheetViews>
    <sheetView topLeftCell="C295" workbookViewId="0">
      <selection activeCell="Q352" sqref="Q352"/>
    </sheetView>
  </sheetViews>
  <sheetFormatPr baseColWidth="10" defaultColWidth="8.83203125" defaultRowHeight="14"/>
  <cols>
    <col min="1" max="1" width="8" customWidth="1"/>
    <col min="2" max="2" width="24" customWidth="1"/>
    <col min="3" max="3" width="10" customWidth="1"/>
    <col min="4" max="4" width="26" customWidth="1"/>
    <col min="5" max="5" width="12" customWidth="1"/>
    <col min="6" max="6" width="9" customWidth="1"/>
    <col min="7" max="7" width="12" customWidth="1"/>
    <col min="8" max="8" width="16" customWidth="1"/>
    <col min="9" max="10" width="10" customWidth="1"/>
    <col min="11" max="11" width="17" customWidth="1"/>
    <col min="12" max="12" width="12" customWidth="1"/>
    <col min="13" max="14" width="14" customWidth="1"/>
    <col min="15" max="15" width="18" customWidth="1"/>
    <col min="16" max="16" width="17" customWidth="1"/>
    <col min="17" max="17" width="16" customWidth="1"/>
  </cols>
  <sheetData>
    <row r="1" spans="1:17" ht="53.2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5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>
      <c r="A3" s="3">
        <v>1</v>
      </c>
      <c r="B3" s="2" t="s">
        <v>18</v>
      </c>
      <c r="C3" s="2" t="s">
        <v>19</v>
      </c>
      <c r="D3" s="2" t="s">
        <v>20</v>
      </c>
      <c r="E3" s="2" t="s">
        <v>21</v>
      </c>
      <c r="F3" s="4">
        <v>25.2</v>
      </c>
      <c r="G3" s="4">
        <v>5251.3</v>
      </c>
      <c r="H3" s="2" t="s">
        <v>22</v>
      </c>
      <c r="I3" s="2" t="s">
        <v>23</v>
      </c>
      <c r="J3" s="3">
        <v>130</v>
      </c>
      <c r="K3" s="5">
        <v>0.74</v>
      </c>
      <c r="L3" s="4">
        <v>84.4</v>
      </c>
      <c r="M3" s="4">
        <v>2060.6</v>
      </c>
      <c r="N3" s="4">
        <v>41.7</v>
      </c>
      <c r="O3" s="4">
        <v>7.3</v>
      </c>
      <c r="P3" s="4">
        <v>961.2</v>
      </c>
      <c r="Q3" s="5">
        <v>0.71</v>
      </c>
    </row>
    <row r="4" spans="1:17">
      <c r="A4" s="3">
        <v>2</v>
      </c>
      <c r="B4" s="2" t="s">
        <v>18</v>
      </c>
      <c r="C4" s="2" t="s">
        <v>24</v>
      </c>
      <c r="D4" s="2" t="s">
        <v>20</v>
      </c>
      <c r="E4" s="2" t="s">
        <v>21</v>
      </c>
      <c r="F4" s="4">
        <v>25.2</v>
      </c>
      <c r="G4" s="4">
        <v>5516.7</v>
      </c>
      <c r="H4" s="2" t="s">
        <v>22</v>
      </c>
      <c r="I4" s="2" t="s">
        <v>23</v>
      </c>
      <c r="J4" s="3">
        <v>130</v>
      </c>
      <c r="K4" s="5">
        <v>0.82</v>
      </c>
      <c r="L4" s="4">
        <v>64.2</v>
      </c>
      <c r="M4" s="4">
        <v>2281.1</v>
      </c>
      <c r="N4" s="4">
        <v>37.700000000000003</v>
      </c>
      <c r="O4" s="4">
        <v>8.4</v>
      </c>
      <c r="P4" s="4">
        <v>730.8</v>
      </c>
      <c r="Q4" s="5">
        <v>0.6</v>
      </c>
    </row>
    <row r="5" spans="1:17">
      <c r="A5" s="3">
        <v>3</v>
      </c>
      <c r="B5" s="2" t="s">
        <v>25</v>
      </c>
      <c r="C5" s="2" t="s">
        <v>19</v>
      </c>
      <c r="D5" s="2" t="s">
        <v>26</v>
      </c>
      <c r="E5" s="2" t="s">
        <v>21</v>
      </c>
      <c r="F5" s="4">
        <v>15.3</v>
      </c>
      <c r="G5" s="4">
        <v>5344.1</v>
      </c>
      <c r="H5" s="2" t="s">
        <v>22</v>
      </c>
      <c r="I5" s="2" t="s">
        <v>23</v>
      </c>
      <c r="J5" s="3">
        <v>300</v>
      </c>
      <c r="K5" s="5">
        <v>0.87</v>
      </c>
      <c r="L5" s="4">
        <v>54</v>
      </c>
      <c r="M5" s="4">
        <v>2425.1</v>
      </c>
      <c r="N5" s="4">
        <v>35.5</v>
      </c>
      <c r="O5" s="4">
        <v>7.6</v>
      </c>
      <c r="P5" s="4">
        <v>1418.9</v>
      </c>
      <c r="Q5" s="5">
        <v>1.23</v>
      </c>
    </row>
    <row r="6" spans="1:17">
      <c r="A6" s="3">
        <v>4</v>
      </c>
      <c r="B6" s="2" t="s">
        <v>27</v>
      </c>
      <c r="C6" s="2" t="s">
        <v>24</v>
      </c>
      <c r="D6" s="2" t="s">
        <v>28</v>
      </c>
      <c r="E6" s="2" t="s">
        <v>21</v>
      </c>
      <c r="F6" s="4">
        <v>14.4</v>
      </c>
      <c r="G6" s="4">
        <v>4089</v>
      </c>
      <c r="H6" s="2" t="s">
        <v>29</v>
      </c>
      <c r="I6" s="2" t="s">
        <v>23</v>
      </c>
      <c r="J6" s="3">
        <v>330</v>
      </c>
      <c r="K6" s="5">
        <v>0.87</v>
      </c>
      <c r="L6" s="4">
        <v>10.3</v>
      </c>
      <c r="M6" s="4">
        <v>2427.4</v>
      </c>
      <c r="N6" s="4">
        <v>35.4</v>
      </c>
      <c r="O6" s="4">
        <v>8.5</v>
      </c>
      <c r="P6" s="4">
        <v>298.39999999999998</v>
      </c>
      <c r="Q6" s="5">
        <v>0.26</v>
      </c>
    </row>
    <row r="7" spans="1:17">
      <c r="A7" s="3">
        <v>5</v>
      </c>
      <c r="B7" s="2" t="s">
        <v>27</v>
      </c>
      <c r="C7" s="2" t="s">
        <v>19</v>
      </c>
      <c r="D7" s="2" t="s">
        <v>28</v>
      </c>
      <c r="E7" s="2" t="s">
        <v>21</v>
      </c>
      <c r="F7" s="4">
        <v>15</v>
      </c>
      <c r="G7" s="4">
        <v>4089</v>
      </c>
      <c r="H7" s="2" t="s">
        <v>29</v>
      </c>
      <c r="I7" s="2" t="s">
        <v>23</v>
      </c>
      <c r="J7" s="3">
        <v>330</v>
      </c>
      <c r="K7" s="5">
        <v>0.87</v>
      </c>
      <c r="L7" s="4">
        <v>12.5</v>
      </c>
      <c r="M7" s="4">
        <v>2426.6</v>
      </c>
      <c r="N7" s="4">
        <v>35.4</v>
      </c>
      <c r="O7" s="4">
        <v>8.5</v>
      </c>
      <c r="P7" s="4">
        <v>361</v>
      </c>
      <c r="Q7" s="5">
        <v>0.31</v>
      </c>
    </row>
    <row r="8" spans="1:17">
      <c r="A8" s="3">
        <v>6</v>
      </c>
      <c r="B8" s="2" t="s">
        <v>30</v>
      </c>
      <c r="C8" s="2" t="s">
        <v>19</v>
      </c>
      <c r="D8" s="2" t="s">
        <v>31</v>
      </c>
      <c r="E8" s="2" t="s">
        <v>21</v>
      </c>
      <c r="F8" s="4">
        <v>40.5</v>
      </c>
      <c r="G8" s="4">
        <v>4445</v>
      </c>
      <c r="H8" s="2" t="s">
        <v>29</v>
      </c>
      <c r="I8" s="2" t="s">
        <v>23</v>
      </c>
      <c r="J8" s="3">
        <v>500</v>
      </c>
      <c r="K8" s="5">
        <v>0.89</v>
      </c>
      <c r="L8" s="4">
        <v>57.2</v>
      </c>
      <c r="M8" s="4">
        <v>2495.6</v>
      </c>
      <c r="N8" s="4">
        <v>34.5</v>
      </c>
      <c r="O8" s="4">
        <v>6.1</v>
      </c>
      <c r="P8" s="4">
        <v>2507</v>
      </c>
      <c r="Q8" s="5">
        <v>2.2400000000000002</v>
      </c>
    </row>
    <row r="9" spans="1:17">
      <c r="A9" s="3">
        <v>7</v>
      </c>
      <c r="B9" s="2" t="s">
        <v>30</v>
      </c>
      <c r="C9" s="2" t="s">
        <v>24</v>
      </c>
      <c r="D9" s="2" t="s">
        <v>31</v>
      </c>
      <c r="E9" s="2" t="s">
        <v>21</v>
      </c>
      <c r="F9" s="4">
        <v>14.9</v>
      </c>
      <c r="G9" s="4">
        <v>4420</v>
      </c>
      <c r="H9" s="2" t="s">
        <v>29</v>
      </c>
      <c r="I9" s="2" t="s">
        <v>23</v>
      </c>
      <c r="J9" s="3">
        <v>250</v>
      </c>
      <c r="K9" s="5">
        <v>0.9</v>
      </c>
      <c r="L9" s="4">
        <v>62.6</v>
      </c>
      <c r="M9" s="4">
        <v>2524.5</v>
      </c>
      <c r="N9" s="4">
        <v>34.1</v>
      </c>
      <c r="O9" s="4">
        <v>7.1</v>
      </c>
      <c r="P9" s="4">
        <v>1372</v>
      </c>
      <c r="Q9" s="5">
        <v>1.24</v>
      </c>
    </row>
    <row r="10" spans="1:17">
      <c r="A10" s="3">
        <v>8</v>
      </c>
      <c r="B10" s="2" t="s">
        <v>25</v>
      </c>
      <c r="C10" s="2" t="s">
        <v>24</v>
      </c>
      <c r="D10" s="2" t="s">
        <v>26</v>
      </c>
      <c r="E10" s="2" t="s">
        <v>21</v>
      </c>
      <c r="F10" s="4">
        <v>15</v>
      </c>
      <c r="G10" s="4">
        <v>5272.3</v>
      </c>
      <c r="H10" s="2" t="s">
        <v>22</v>
      </c>
      <c r="I10" s="2" t="s">
        <v>23</v>
      </c>
      <c r="J10" s="3">
        <v>300</v>
      </c>
      <c r="K10" s="5">
        <v>0.9</v>
      </c>
      <c r="L10" s="4">
        <v>16.7</v>
      </c>
      <c r="M10" s="4">
        <v>2525.1</v>
      </c>
      <c r="N10" s="4">
        <v>34.1</v>
      </c>
      <c r="O10" s="4">
        <v>9.1</v>
      </c>
      <c r="P10" s="4">
        <v>439.1</v>
      </c>
      <c r="Q10" s="5">
        <v>0.4</v>
      </c>
    </row>
    <row r="11" spans="1:17">
      <c r="A11" s="3">
        <v>9</v>
      </c>
      <c r="B11" s="2" t="s">
        <v>32</v>
      </c>
      <c r="C11" s="2" t="s">
        <v>33</v>
      </c>
      <c r="D11" s="2" t="s">
        <v>34</v>
      </c>
      <c r="E11" s="2" t="s">
        <v>35</v>
      </c>
      <c r="F11" s="4">
        <v>13.1</v>
      </c>
      <c r="G11" s="4">
        <v>3774</v>
      </c>
      <c r="H11" s="2" t="s">
        <v>36</v>
      </c>
      <c r="I11" s="2" t="s">
        <v>23</v>
      </c>
      <c r="J11" s="3">
        <v>500</v>
      </c>
      <c r="K11" s="5">
        <v>0.91</v>
      </c>
      <c r="L11" s="4">
        <v>78.8</v>
      </c>
      <c r="M11" s="4">
        <v>2404</v>
      </c>
      <c r="N11" s="4">
        <v>35.799999999999997</v>
      </c>
      <c r="O11" s="4">
        <v>5.2</v>
      </c>
      <c r="P11" s="4">
        <v>3452.2</v>
      </c>
      <c r="Q11" s="5">
        <v>3.15</v>
      </c>
    </row>
    <row r="12" spans="1:17">
      <c r="A12" s="3">
        <v>10</v>
      </c>
      <c r="B12" s="2" t="s">
        <v>37</v>
      </c>
      <c r="C12" s="2" t="s">
        <v>24</v>
      </c>
      <c r="D12" s="2" t="s">
        <v>38</v>
      </c>
      <c r="E12" s="2" t="s">
        <v>21</v>
      </c>
      <c r="F12" s="4">
        <v>9.5</v>
      </c>
      <c r="G12" s="4">
        <v>3185</v>
      </c>
      <c r="H12" s="2" t="s">
        <v>39</v>
      </c>
      <c r="I12" s="2" t="s">
        <v>23</v>
      </c>
      <c r="J12" s="3">
        <v>300</v>
      </c>
      <c r="K12" s="5">
        <v>0.92</v>
      </c>
      <c r="L12" s="4">
        <v>74</v>
      </c>
      <c r="M12" s="4">
        <v>2416.1999999999998</v>
      </c>
      <c r="N12" s="4">
        <v>35.6</v>
      </c>
      <c r="O12" s="4">
        <v>5.0999999999999996</v>
      </c>
      <c r="P12" s="4">
        <v>1945</v>
      </c>
      <c r="Q12" s="5">
        <v>1.78</v>
      </c>
    </row>
    <row r="13" spans="1:17">
      <c r="A13" s="3">
        <v>11</v>
      </c>
      <c r="B13" s="2" t="s">
        <v>40</v>
      </c>
      <c r="C13" s="2" t="s">
        <v>41</v>
      </c>
      <c r="D13" s="2" t="s">
        <v>42</v>
      </c>
      <c r="E13" s="2" t="s">
        <v>21</v>
      </c>
      <c r="F13" s="4">
        <v>10.4</v>
      </c>
      <c r="G13" s="4">
        <v>2927.8</v>
      </c>
      <c r="H13" s="2" t="s">
        <v>43</v>
      </c>
      <c r="I13" s="2" t="s">
        <v>23</v>
      </c>
      <c r="J13" s="3">
        <v>600</v>
      </c>
      <c r="K13" s="5">
        <v>0.92</v>
      </c>
      <c r="L13" s="4">
        <v>49.3</v>
      </c>
      <c r="M13" s="4">
        <v>2424.1999999999998</v>
      </c>
      <c r="N13" s="4">
        <v>35.5</v>
      </c>
      <c r="O13" s="4">
        <v>5.3</v>
      </c>
      <c r="P13" s="4">
        <v>2591.6999999999998</v>
      </c>
      <c r="Q13" s="5">
        <v>2.38</v>
      </c>
    </row>
    <row r="14" spans="1:17">
      <c r="A14" s="3">
        <v>12</v>
      </c>
      <c r="B14" s="2" t="s">
        <v>40</v>
      </c>
      <c r="C14" s="2" t="s">
        <v>19</v>
      </c>
      <c r="D14" s="2" t="s">
        <v>42</v>
      </c>
      <c r="E14" s="2" t="s">
        <v>21</v>
      </c>
      <c r="F14" s="4">
        <v>10.4</v>
      </c>
      <c r="G14" s="4">
        <v>2993.3</v>
      </c>
      <c r="H14" s="2" t="s">
        <v>43</v>
      </c>
      <c r="I14" s="2" t="s">
        <v>23</v>
      </c>
      <c r="J14" s="3">
        <v>600</v>
      </c>
      <c r="K14" s="5">
        <v>0.92</v>
      </c>
      <c r="L14" s="4">
        <v>59.1</v>
      </c>
      <c r="M14" s="4">
        <v>2433</v>
      </c>
      <c r="N14" s="4">
        <v>35.299999999999997</v>
      </c>
      <c r="O14" s="4">
        <v>5.3</v>
      </c>
      <c r="P14" s="4">
        <v>3108.9</v>
      </c>
      <c r="Q14" s="5">
        <v>2.86</v>
      </c>
    </row>
    <row r="15" spans="1:17">
      <c r="A15" s="3">
        <v>13</v>
      </c>
      <c r="B15" s="2" t="s">
        <v>44</v>
      </c>
      <c r="C15" s="2" t="s">
        <v>45</v>
      </c>
      <c r="D15" s="2" t="s">
        <v>46</v>
      </c>
      <c r="E15" s="2" t="s">
        <v>47</v>
      </c>
      <c r="F15" s="4">
        <v>13.6</v>
      </c>
      <c r="G15" s="4">
        <v>3374</v>
      </c>
      <c r="H15" s="2" t="s">
        <v>39</v>
      </c>
      <c r="I15" s="2" t="s">
        <v>23</v>
      </c>
      <c r="J15" s="3">
        <v>500</v>
      </c>
      <c r="K15" s="5">
        <v>0.92</v>
      </c>
      <c r="L15" s="4">
        <v>78.900000000000006</v>
      </c>
      <c r="M15" s="4">
        <v>2427.6999999999998</v>
      </c>
      <c r="N15" s="4">
        <v>35.4</v>
      </c>
      <c r="O15" s="4">
        <v>5.2</v>
      </c>
      <c r="P15" s="4">
        <v>3455.1</v>
      </c>
      <c r="Q15" s="5">
        <v>3.18</v>
      </c>
    </row>
    <row r="16" spans="1:17">
      <c r="A16" s="3">
        <v>14</v>
      </c>
      <c r="B16" s="2" t="s">
        <v>27</v>
      </c>
      <c r="C16" s="2" t="s">
        <v>41</v>
      </c>
      <c r="D16" s="2" t="s">
        <v>28</v>
      </c>
      <c r="E16" s="2" t="s">
        <v>21</v>
      </c>
      <c r="F16" s="4">
        <v>14</v>
      </c>
      <c r="G16" s="4">
        <v>4089</v>
      </c>
      <c r="H16" s="2" t="s">
        <v>29</v>
      </c>
      <c r="I16" s="2" t="s">
        <v>23</v>
      </c>
      <c r="J16" s="3">
        <v>330</v>
      </c>
      <c r="K16" s="5">
        <v>0.92</v>
      </c>
      <c r="L16" s="4">
        <v>16.100000000000001</v>
      </c>
      <c r="M16" s="4">
        <v>2583.3000000000002</v>
      </c>
      <c r="N16" s="4">
        <v>33.299999999999997</v>
      </c>
      <c r="O16" s="4">
        <v>8.5</v>
      </c>
      <c r="P16" s="4">
        <v>466.5</v>
      </c>
      <c r="Q16" s="5">
        <v>0.43</v>
      </c>
    </row>
    <row r="17" spans="1:17">
      <c r="A17" s="3">
        <v>15</v>
      </c>
      <c r="B17" s="2" t="s">
        <v>48</v>
      </c>
      <c r="C17" s="2" t="s">
        <v>19</v>
      </c>
      <c r="D17" s="2" t="s">
        <v>49</v>
      </c>
      <c r="E17" s="2" t="s">
        <v>21</v>
      </c>
      <c r="F17" s="4">
        <v>26.9</v>
      </c>
      <c r="G17" s="4">
        <v>3761</v>
      </c>
      <c r="H17" s="2" t="s">
        <v>36</v>
      </c>
      <c r="I17" s="2" t="s">
        <v>23</v>
      </c>
      <c r="J17" s="3">
        <v>250</v>
      </c>
      <c r="K17" s="5">
        <v>0.93</v>
      </c>
      <c r="L17" s="4">
        <v>69.599999999999994</v>
      </c>
      <c r="M17" s="4">
        <v>2437.6999999999998</v>
      </c>
      <c r="N17" s="4">
        <v>35.299999999999997</v>
      </c>
      <c r="O17" s="4">
        <v>7.9</v>
      </c>
      <c r="P17" s="4">
        <v>1523.9</v>
      </c>
      <c r="Q17" s="5">
        <v>1.41</v>
      </c>
    </row>
    <row r="18" spans="1:17">
      <c r="A18" s="3">
        <v>16</v>
      </c>
      <c r="B18" s="2" t="s">
        <v>48</v>
      </c>
      <c r="C18" s="2" t="s">
        <v>24</v>
      </c>
      <c r="D18" s="2" t="s">
        <v>49</v>
      </c>
      <c r="E18" s="2" t="s">
        <v>21</v>
      </c>
      <c r="F18" s="4">
        <v>25.4</v>
      </c>
      <c r="G18" s="4">
        <v>3761</v>
      </c>
      <c r="H18" s="2" t="s">
        <v>36</v>
      </c>
      <c r="I18" s="2" t="s">
        <v>23</v>
      </c>
      <c r="J18" s="3">
        <v>250</v>
      </c>
      <c r="K18" s="5">
        <v>0.93</v>
      </c>
      <c r="L18" s="4">
        <v>73.2</v>
      </c>
      <c r="M18" s="4">
        <v>2437.9</v>
      </c>
      <c r="N18" s="4">
        <v>35.299999999999997</v>
      </c>
      <c r="O18" s="4">
        <v>7.9</v>
      </c>
      <c r="P18" s="4">
        <v>1602.5</v>
      </c>
      <c r="Q18" s="5">
        <v>1.48</v>
      </c>
    </row>
    <row r="19" spans="1:17">
      <c r="A19" s="3">
        <v>17</v>
      </c>
      <c r="B19" s="2" t="s">
        <v>27</v>
      </c>
      <c r="C19" s="2" t="s">
        <v>33</v>
      </c>
      <c r="D19" s="2" t="s">
        <v>28</v>
      </c>
      <c r="E19" s="2" t="s">
        <v>21</v>
      </c>
      <c r="F19" s="4">
        <v>13.6</v>
      </c>
      <c r="G19" s="4">
        <v>4089</v>
      </c>
      <c r="H19" s="2" t="s">
        <v>29</v>
      </c>
      <c r="I19" s="2" t="s">
        <v>23</v>
      </c>
      <c r="J19" s="3">
        <v>330</v>
      </c>
      <c r="K19" s="5">
        <v>0.93</v>
      </c>
      <c r="L19" s="4">
        <v>18.2</v>
      </c>
      <c r="M19" s="4">
        <v>2589.6999999999998</v>
      </c>
      <c r="N19" s="4">
        <v>33.200000000000003</v>
      </c>
      <c r="O19" s="4">
        <v>8.5</v>
      </c>
      <c r="P19" s="4">
        <v>526.70000000000005</v>
      </c>
      <c r="Q19" s="5">
        <v>0.49</v>
      </c>
    </row>
    <row r="20" spans="1:17">
      <c r="A20" s="3">
        <v>18</v>
      </c>
      <c r="B20" s="2" t="s">
        <v>40</v>
      </c>
      <c r="C20" s="2" t="s">
        <v>33</v>
      </c>
      <c r="D20" s="2" t="s">
        <v>42</v>
      </c>
      <c r="E20" s="2" t="s">
        <v>21</v>
      </c>
      <c r="F20" s="4">
        <v>9.4</v>
      </c>
      <c r="G20" s="4">
        <v>2935.5</v>
      </c>
      <c r="H20" s="2" t="s">
        <v>43</v>
      </c>
      <c r="I20" s="2" t="s">
        <v>23</v>
      </c>
      <c r="J20" s="3">
        <v>600</v>
      </c>
      <c r="K20" s="5">
        <v>0.93</v>
      </c>
      <c r="L20" s="4">
        <v>62.9</v>
      </c>
      <c r="M20" s="4">
        <v>2443.9</v>
      </c>
      <c r="N20" s="4">
        <v>35.200000000000003</v>
      </c>
      <c r="O20" s="4">
        <v>5.3</v>
      </c>
      <c r="P20" s="4">
        <v>3305.2</v>
      </c>
      <c r="Q20" s="5">
        <v>3.06</v>
      </c>
    </row>
    <row r="21" spans="1:17">
      <c r="A21" s="3">
        <v>19</v>
      </c>
      <c r="B21" s="2" t="s">
        <v>50</v>
      </c>
      <c r="C21" s="2" t="s">
        <v>51</v>
      </c>
      <c r="D21" s="2" t="s">
        <v>52</v>
      </c>
      <c r="E21" s="2" t="s">
        <v>35</v>
      </c>
      <c r="F21" s="4">
        <v>9.1999999999999993</v>
      </c>
      <c r="G21" s="4">
        <v>3590</v>
      </c>
      <c r="H21" s="2" t="s">
        <v>36</v>
      </c>
      <c r="I21" s="2" t="s">
        <v>23</v>
      </c>
      <c r="J21" s="3">
        <v>500</v>
      </c>
      <c r="K21" s="5">
        <v>0.93</v>
      </c>
      <c r="L21" s="4">
        <v>89.3</v>
      </c>
      <c r="M21" s="4">
        <v>2445.1999999999998</v>
      </c>
      <c r="N21" s="4">
        <v>35.200000000000003</v>
      </c>
      <c r="O21" s="4">
        <v>5.6</v>
      </c>
      <c r="P21" s="4">
        <v>3909.6</v>
      </c>
      <c r="Q21" s="5">
        <v>3.63</v>
      </c>
    </row>
    <row r="22" spans="1:17">
      <c r="A22" s="3">
        <v>20</v>
      </c>
      <c r="B22" s="2" t="s">
        <v>53</v>
      </c>
      <c r="C22" s="2" t="s">
        <v>45</v>
      </c>
      <c r="D22" s="2" t="s">
        <v>46</v>
      </c>
      <c r="E22" s="2" t="s">
        <v>47</v>
      </c>
      <c r="F22" s="4">
        <v>19.899999999999999</v>
      </c>
      <c r="G22" s="4">
        <v>3494.4</v>
      </c>
      <c r="H22" s="2" t="s">
        <v>39</v>
      </c>
      <c r="I22" s="2" t="s">
        <v>23</v>
      </c>
      <c r="J22" s="3">
        <v>500</v>
      </c>
      <c r="K22" s="5">
        <v>0.93</v>
      </c>
      <c r="L22" s="4">
        <v>64.400000000000006</v>
      </c>
      <c r="M22" s="4">
        <v>2451</v>
      </c>
      <c r="N22" s="4">
        <v>35.1</v>
      </c>
      <c r="O22" s="4">
        <v>6.7</v>
      </c>
      <c r="P22" s="4">
        <v>2822.3</v>
      </c>
      <c r="Q22" s="5">
        <v>2.62</v>
      </c>
    </row>
    <row r="23" spans="1:17">
      <c r="A23" s="3">
        <v>21</v>
      </c>
      <c r="B23" s="2" t="s">
        <v>50</v>
      </c>
      <c r="C23" s="2" t="s">
        <v>45</v>
      </c>
      <c r="D23" s="2" t="s">
        <v>52</v>
      </c>
      <c r="E23" s="2" t="s">
        <v>35</v>
      </c>
      <c r="F23" s="4">
        <v>8.4</v>
      </c>
      <c r="G23" s="4">
        <v>3590</v>
      </c>
      <c r="H23" s="2" t="s">
        <v>36</v>
      </c>
      <c r="I23" s="2" t="s">
        <v>23</v>
      </c>
      <c r="J23" s="3">
        <v>500</v>
      </c>
      <c r="K23" s="5">
        <v>0.93</v>
      </c>
      <c r="L23" s="4">
        <v>87.7</v>
      </c>
      <c r="M23" s="4">
        <v>2446.3000000000002</v>
      </c>
      <c r="N23" s="4">
        <v>35.1</v>
      </c>
      <c r="O23" s="4">
        <v>5.5</v>
      </c>
      <c r="P23" s="4">
        <v>3841.1</v>
      </c>
      <c r="Q23" s="5">
        <v>3.57</v>
      </c>
    </row>
    <row r="24" spans="1:17">
      <c r="A24" s="3">
        <v>22</v>
      </c>
      <c r="B24" s="2" t="s">
        <v>54</v>
      </c>
      <c r="C24" s="2"/>
      <c r="D24" s="2" t="s">
        <v>55</v>
      </c>
      <c r="E24" s="2" t="s">
        <v>35</v>
      </c>
      <c r="F24" s="4">
        <v>8.4</v>
      </c>
      <c r="G24" s="4">
        <v>4002</v>
      </c>
      <c r="H24" s="2" t="s">
        <v>29</v>
      </c>
      <c r="I24" s="2" t="s">
        <v>23</v>
      </c>
      <c r="J24" s="3">
        <v>600</v>
      </c>
      <c r="K24" s="5">
        <v>0.93</v>
      </c>
      <c r="L24" s="4">
        <v>86.6</v>
      </c>
      <c r="M24" s="4">
        <v>2446.5</v>
      </c>
      <c r="N24" s="4">
        <v>35.1</v>
      </c>
      <c r="O24" s="4">
        <v>6.2</v>
      </c>
      <c r="P24" s="4">
        <v>4554</v>
      </c>
      <c r="Q24" s="5">
        <v>4.2300000000000004</v>
      </c>
    </row>
    <row r="25" spans="1:17">
      <c r="A25" s="3">
        <v>23</v>
      </c>
      <c r="B25" s="2" t="s">
        <v>56</v>
      </c>
      <c r="C25" s="2" t="s">
        <v>57</v>
      </c>
      <c r="D25" s="2" t="s">
        <v>58</v>
      </c>
      <c r="E25" s="2" t="s">
        <v>35</v>
      </c>
      <c r="F25" s="4">
        <v>9.4</v>
      </c>
      <c r="G25" s="4">
        <v>3235.1</v>
      </c>
      <c r="H25" s="2" t="s">
        <v>39</v>
      </c>
      <c r="I25" s="2" t="s">
        <v>23</v>
      </c>
      <c r="J25" s="3">
        <v>500</v>
      </c>
      <c r="K25" s="5">
        <v>0.93</v>
      </c>
      <c r="L25" s="4">
        <v>70.099999999999994</v>
      </c>
      <c r="M25" s="4">
        <v>2474.6999999999998</v>
      </c>
      <c r="N25" s="4">
        <v>34.700000000000003</v>
      </c>
      <c r="O25" s="4">
        <v>5.3</v>
      </c>
      <c r="P25" s="4">
        <v>3072.6</v>
      </c>
      <c r="Q25" s="5">
        <v>2.85</v>
      </c>
    </row>
    <row r="26" spans="1:17">
      <c r="A26" s="3">
        <v>24</v>
      </c>
      <c r="B26" s="2" t="s">
        <v>59</v>
      </c>
      <c r="C26" s="2" t="s">
        <v>19</v>
      </c>
      <c r="D26" s="2" t="s">
        <v>60</v>
      </c>
      <c r="E26" s="2" t="s">
        <v>21</v>
      </c>
      <c r="F26" s="4">
        <v>12.5</v>
      </c>
      <c r="G26" s="4">
        <v>5291</v>
      </c>
      <c r="H26" s="2" t="s">
        <v>22</v>
      </c>
      <c r="I26" s="2" t="s">
        <v>23</v>
      </c>
      <c r="J26" s="3">
        <v>600</v>
      </c>
      <c r="K26" s="5">
        <v>0.93</v>
      </c>
      <c r="L26" s="4">
        <v>15.4</v>
      </c>
      <c r="M26" s="4">
        <v>2603.3000000000002</v>
      </c>
      <c r="N26" s="4">
        <v>33</v>
      </c>
      <c r="O26" s="4">
        <v>7</v>
      </c>
      <c r="P26" s="4">
        <v>807.2</v>
      </c>
      <c r="Q26" s="5">
        <v>0.75</v>
      </c>
    </row>
    <row r="27" spans="1:17">
      <c r="A27" s="3">
        <v>25</v>
      </c>
      <c r="B27" s="2" t="s">
        <v>61</v>
      </c>
      <c r="C27" s="2" t="s">
        <v>24</v>
      </c>
      <c r="D27" s="2" t="s">
        <v>62</v>
      </c>
      <c r="E27" s="2" t="s">
        <v>21</v>
      </c>
      <c r="F27" s="4">
        <v>12.7</v>
      </c>
      <c r="G27" s="4">
        <v>3661</v>
      </c>
      <c r="H27" s="2" t="s">
        <v>36</v>
      </c>
      <c r="I27" s="2" t="s">
        <v>23</v>
      </c>
      <c r="J27" s="3">
        <v>600</v>
      </c>
      <c r="K27" s="5">
        <v>0.93</v>
      </c>
      <c r="L27" s="4">
        <v>68.900000000000006</v>
      </c>
      <c r="M27" s="4">
        <v>2454.8000000000002</v>
      </c>
      <c r="N27" s="4">
        <v>35</v>
      </c>
      <c r="O27" s="4">
        <v>5.2</v>
      </c>
      <c r="P27" s="4">
        <v>3622.2</v>
      </c>
      <c r="Q27" s="5">
        <v>3.37</v>
      </c>
    </row>
    <row r="28" spans="1:17">
      <c r="A28" s="3">
        <v>26</v>
      </c>
      <c r="B28" s="2" t="s">
        <v>61</v>
      </c>
      <c r="C28" s="2" t="s">
        <v>19</v>
      </c>
      <c r="D28" s="2" t="s">
        <v>62</v>
      </c>
      <c r="E28" s="2" t="s">
        <v>21</v>
      </c>
      <c r="F28" s="4">
        <v>12.7</v>
      </c>
      <c r="G28" s="4">
        <v>3661</v>
      </c>
      <c r="H28" s="2" t="s">
        <v>36</v>
      </c>
      <c r="I28" s="2" t="s">
        <v>23</v>
      </c>
      <c r="J28" s="3">
        <v>600</v>
      </c>
      <c r="K28" s="5">
        <v>0.93</v>
      </c>
      <c r="L28" s="4">
        <v>77.599999999999994</v>
      </c>
      <c r="M28" s="4">
        <v>2454.8000000000002</v>
      </c>
      <c r="N28" s="4">
        <v>35</v>
      </c>
      <c r="O28" s="4">
        <v>5.2</v>
      </c>
      <c r="P28" s="4">
        <v>4080.8</v>
      </c>
      <c r="Q28" s="5">
        <v>3.8</v>
      </c>
    </row>
    <row r="29" spans="1:17">
      <c r="A29" s="3">
        <v>27</v>
      </c>
      <c r="B29" s="2" t="s">
        <v>56</v>
      </c>
      <c r="C29" s="2" t="s">
        <v>63</v>
      </c>
      <c r="D29" s="2" t="s">
        <v>58</v>
      </c>
      <c r="E29" s="2" t="s">
        <v>35</v>
      </c>
      <c r="F29" s="4">
        <v>8.4</v>
      </c>
      <c r="G29" s="4">
        <v>3204.5</v>
      </c>
      <c r="H29" s="2" t="s">
        <v>39</v>
      </c>
      <c r="I29" s="2" t="s">
        <v>23</v>
      </c>
      <c r="J29" s="3">
        <v>500</v>
      </c>
      <c r="K29" s="5">
        <v>0.93</v>
      </c>
      <c r="L29" s="4">
        <v>73.7</v>
      </c>
      <c r="M29" s="4">
        <v>2488.9</v>
      </c>
      <c r="N29" s="4">
        <v>34.5</v>
      </c>
      <c r="O29" s="4">
        <v>5.7</v>
      </c>
      <c r="P29" s="4">
        <v>3228.3</v>
      </c>
      <c r="Q29" s="5">
        <v>3.01</v>
      </c>
    </row>
    <row r="30" spans="1:17">
      <c r="A30" s="3">
        <v>28</v>
      </c>
      <c r="B30" s="2" t="s">
        <v>54</v>
      </c>
      <c r="C30" s="2" t="s">
        <v>24</v>
      </c>
      <c r="D30" s="2" t="s">
        <v>55</v>
      </c>
      <c r="E30" s="2" t="s">
        <v>35</v>
      </c>
      <c r="F30" s="4">
        <v>7.7</v>
      </c>
      <c r="G30" s="4">
        <v>3997</v>
      </c>
      <c r="H30" s="2" t="s">
        <v>36</v>
      </c>
      <c r="I30" s="2" t="s">
        <v>23</v>
      </c>
      <c r="J30" s="3">
        <v>600</v>
      </c>
      <c r="K30" s="5">
        <v>0.93</v>
      </c>
      <c r="L30" s="4">
        <v>79.7</v>
      </c>
      <c r="M30" s="4">
        <v>2458.1999999999998</v>
      </c>
      <c r="N30" s="4">
        <v>35</v>
      </c>
      <c r="O30" s="4">
        <v>5.9</v>
      </c>
      <c r="P30" s="4">
        <v>4187</v>
      </c>
      <c r="Q30" s="5">
        <v>3.91</v>
      </c>
    </row>
    <row r="31" spans="1:17">
      <c r="A31" s="3">
        <v>29</v>
      </c>
      <c r="B31" s="2" t="s">
        <v>64</v>
      </c>
      <c r="C31" s="2" t="s">
        <v>24</v>
      </c>
      <c r="D31" s="2" t="s">
        <v>34</v>
      </c>
      <c r="E31" s="2" t="s">
        <v>35</v>
      </c>
      <c r="F31" s="4">
        <v>8.6</v>
      </c>
      <c r="G31" s="4">
        <v>3992</v>
      </c>
      <c r="H31" s="2" t="s">
        <v>36</v>
      </c>
      <c r="I31" s="2" t="s">
        <v>23</v>
      </c>
      <c r="J31" s="3">
        <v>600</v>
      </c>
      <c r="K31" s="5">
        <v>0.94</v>
      </c>
      <c r="L31" s="4">
        <v>79.3</v>
      </c>
      <c r="M31" s="4">
        <v>2462.6999999999998</v>
      </c>
      <c r="N31" s="4">
        <v>34.9</v>
      </c>
      <c r="O31" s="4">
        <v>5.4</v>
      </c>
      <c r="P31" s="4">
        <v>4166</v>
      </c>
      <c r="Q31" s="5">
        <v>3.9</v>
      </c>
    </row>
    <row r="32" spans="1:17">
      <c r="A32" s="3">
        <v>30</v>
      </c>
      <c r="B32" s="2" t="s">
        <v>65</v>
      </c>
      <c r="C32" s="2" t="s">
        <v>24</v>
      </c>
      <c r="D32" s="2" t="s">
        <v>46</v>
      </c>
      <c r="E32" s="2" t="s">
        <v>47</v>
      </c>
      <c r="F32" s="4">
        <v>15.6</v>
      </c>
      <c r="G32" s="4">
        <v>3474.3</v>
      </c>
      <c r="H32" s="2" t="s">
        <v>39</v>
      </c>
      <c r="I32" s="2" t="s">
        <v>23</v>
      </c>
      <c r="J32" s="3">
        <v>500</v>
      </c>
      <c r="K32" s="5">
        <v>0.94</v>
      </c>
      <c r="L32" s="4">
        <v>86.6</v>
      </c>
      <c r="M32" s="4">
        <v>2475</v>
      </c>
      <c r="N32" s="4">
        <v>34.700000000000003</v>
      </c>
      <c r="O32" s="4">
        <v>6.1</v>
      </c>
      <c r="P32" s="4">
        <v>3792.6</v>
      </c>
      <c r="Q32" s="5">
        <v>3.55</v>
      </c>
    </row>
    <row r="33" spans="1:17">
      <c r="A33" s="3">
        <v>31</v>
      </c>
      <c r="B33" s="2" t="s">
        <v>66</v>
      </c>
      <c r="C33" s="2" t="s">
        <v>19</v>
      </c>
      <c r="D33" s="2" t="s">
        <v>20</v>
      </c>
      <c r="E33" s="2" t="s">
        <v>21</v>
      </c>
      <c r="F33" s="4">
        <v>14</v>
      </c>
      <c r="G33" s="4">
        <v>5300</v>
      </c>
      <c r="H33" s="2" t="s">
        <v>22</v>
      </c>
      <c r="I33" s="2" t="s">
        <v>23</v>
      </c>
      <c r="J33" s="3">
        <v>300</v>
      </c>
      <c r="K33" s="5">
        <v>0.94</v>
      </c>
      <c r="L33" s="4">
        <v>23.5</v>
      </c>
      <c r="M33" s="4">
        <v>2622</v>
      </c>
      <c r="N33" s="4">
        <v>32.799999999999997</v>
      </c>
      <c r="O33" s="4">
        <v>8.6</v>
      </c>
      <c r="P33" s="4">
        <v>617.79999999999995</v>
      </c>
      <c r="Q33" s="5">
        <v>0.57999999999999996</v>
      </c>
    </row>
    <row r="34" spans="1:17">
      <c r="A34" s="3">
        <v>32</v>
      </c>
      <c r="B34" s="2" t="s">
        <v>67</v>
      </c>
      <c r="C34" s="2" t="s">
        <v>68</v>
      </c>
      <c r="D34" s="2" t="s">
        <v>46</v>
      </c>
      <c r="E34" s="2" t="s">
        <v>47</v>
      </c>
      <c r="F34" s="4">
        <v>12.1</v>
      </c>
      <c r="G34" s="4">
        <v>3698.2</v>
      </c>
      <c r="H34" s="2" t="s">
        <v>36</v>
      </c>
      <c r="I34" s="2" t="s">
        <v>23</v>
      </c>
      <c r="J34" s="3">
        <v>500</v>
      </c>
      <c r="K34" s="5">
        <v>0.94</v>
      </c>
      <c r="L34" s="4">
        <v>91.2</v>
      </c>
      <c r="M34" s="4">
        <v>2470.6999999999998</v>
      </c>
      <c r="N34" s="4">
        <v>34.799999999999997</v>
      </c>
      <c r="O34" s="4">
        <v>5.5</v>
      </c>
      <c r="P34" s="4">
        <v>3996.1</v>
      </c>
      <c r="Q34" s="5">
        <v>3.75</v>
      </c>
    </row>
    <row r="35" spans="1:17">
      <c r="A35" s="3">
        <v>33</v>
      </c>
      <c r="B35" s="2" t="s">
        <v>69</v>
      </c>
      <c r="C35" s="2" t="s">
        <v>19</v>
      </c>
      <c r="D35" s="2" t="s">
        <v>70</v>
      </c>
      <c r="E35" s="2" t="s">
        <v>21</v>
      </c>
      <c r="F35" s="4">
        <v>8.9</v>
      </c>
      <c r="G35" s="4">
        <v>4015</v>
      </c>
      <c r="H35" s="2" t="s">
        <v>29</v>
      </c>
      <c r="I35" s="2" t="s">
        <v>23</v>
      </c>
      <c r="J35" s="3">
        <v>600</v>
      </c>
      <c r="K35" s="5">
        <v>0.94</v>
      </c>
      <c r="L35" s="4">
        <v>29.2</v>
      </c>
      <c r="M35" s="4">
        <v>2623.9</v>
      </c>
      <c r="N35" s="4">
        <v>32.799999999999997</v>
      </c>
      <c r="O35" s="4">
        <v>8.1999999999999993</v>
      </c>
      <c r="P35" s="4">
        <v>1535</v>
      </c>
      <c r="Q35" s="5">
        <v>1.44</v>
      </c>
    </row>
    <row r="36" spans="1:17">
      <c r="A36" s="3">
        <v>34</v>
      </c>
      <c r="B36" s="2" t="s">
        <v>67</v>
      </c>
      <c r="C36" s="2" t="s">
        <v>71</v>
      </c>
      <c r="D36" s="2" t="s">
        <v>46</v>
      </c>
      <c r="E36" s="2" t="s">
        <v>47</v>
      </c>
      <c r="F36" s="4">
        <v>11.4</v>
      </c>
      <c r="G36" s="4">
        <v>3696.5</v>
      </c>
      <c r="H36" s="2" t="s">
        <v>36</v>
      </c>
      <c r="I36" s="2" t="s">
        <v>23</v>
      </c>
      <c r="J36" s="3">
        <v>500</v>
      </c>
      <c r="K36" s="5">
        <v>0.94</v>
      </c>
      <c r="L36" s="4">
        <v>90.5</v>
      </c>
      <c r="M36" s="4">
        <v>2472.1</v>
      </c>
      <c r="N36" s="4">
        <v>34.799999999999997</v>
      </c>
      <c r="O36" s="4">
        <v>5.4</v>
      </c>
      <c r="P36" s="4">
        <v>3964.2</v>
      </c>
      <c r="Q36" s="5">
        <v>3.72</v>
      </c>
    </row>
    <row r="37" spans="1:17">
      <c r="A37" s="3">
        <v>35</v>
      </c>
      <c r="B37" s="2" t="s">
        <v>72</v>
      </c>
      <c r="C37" s="2" t="s">
        <v>24</v>
      </c>
      <c r="D37" s="2" t="s">
        <v>73</v>
      </c>
      <c r="E37" s="2" t="s">
        <v>21</v>
      </c>
      <c r="F37" s="4">
        <v>13.3</v>
      </c>
      <c r="G37" s="4">
        <v>5142</v>
      </c>
      <c r="H37" s="2" t="s">
        <v>22</v>
      </c>
      <c r="I37" s="2" t="s">
        <v>23</v>
      </c>
      <c r="J37" s="3">
        <v>600</v>
      </c>
      <c r="K37" s="5">
        <v>0.94</v>
      </c>
      <c r="L37" s="4">
        <v>11.6</v>
      </c>
      <c r="M37" s="4">
        <v>2628.4</v>
      </c>
      <c r="N37" s="4">
        <v>32.700000000000003</v>
      </c>
      <c r="O37" s="4">
        <v>10</v>
      </c>
      <c r="P37" s="4">
        <v>611.70000000000005</v>
      </c>
      <c r="Q37" s="5">
        <v>0.56999999999999995</v>
      </c>
    </row>
    <row r="38" spans="1:17">
      <c r="A38" s="3">
        <v>36</v>
      </c>
      <c r="B38" s="2" t="s">
        <v>74</v>
      </c>
      <c r="C38" s="2" t="s">
        <v>24</v>
      </c>
      <c r="D38" s="2" t="s">
        <v>46</v>
      </c>
      <c r="E38" s="2" t="s">
        <v>47</v>
      </c>
      <c r="F38" s="4">
        <v>11.4</v>
      </c>
      <c r="G38" s="4">
        <v>3365.3</v>
      </c>
      <c r="H38" s="2" t="s">
        <v>39</v>
      </c>
      <c r="I38" s="2" t="s">
        <v>23</v>
      </c>
      <c r="J38" s="3">
        <v>500</v>
      </c>
      <c r="K38" s="5">
        <v>0.94</v>
      </c>
      <c r="L38" s="4">
        <v>73.8</v>
      </c>
      <c r="M38" s="4">
        <v>2500.4</v>
      </c>
      <c r="N38" s="4">
        <v>34.4</v>
      </c>
      <c r="O38" s="4">
        <v>5.3</v>
      </c>
      <c r="P38" s="4">
        <v>3233.2</v>
      </c>
      <c r="Q38" s="5">
        <v>3.04</v>
      </c>
    </row>
    <row r="39" spans="1:17">
      <c r="A39" s="3">
        <v>37</v>
      </c>
      <c r="B39" s="2" t="s">
        <v>72</v>
      </c>
      <c r="C39" s="2" t="s">
        <v>19</v>
      </c>
      <c r="D39" s="2" t="s">
        <v>73</v>
      </c>
      <c r="E39" s="2" t="s">
        <v>21</v>
      </c>
      <c r="F39" s="4">
        <v>14</v>
      </c>
      <c r="G39" s="4">
        <v>5131</v>
      </c>
      <c r="H39" s="2" t="s">
        <v>22</v>
      </c>
      <c r="I39" s="2" t="s">
        <v>23</v>
      </c>
      <c r="J39" s="3">
        <v>600</v>
      </c>
      <c r="K39" s="5">
        <v>0.94</v>
      </c>
      <c r="L39" s="4">
        <v>12.5</v>
      </c>
      <c r="M39" s="4">
        <v>2633.5</v>
      </c>
      <c r="N39" s="4">
        <v>32.6</v>
      </c>
      <c r="O39" s="4">
        <v>10.1</v>
      </c>
      <c r="P39" s="4">
        <v>657.8</v>
      </c>
      <c r="Q39" s="5">
        <v>0.62</v>
      </c>
    </row>
    <row r="40" spans="1:17">
      <c r="A40" s="3">
        <v>38</v>
      </c>
      <c r="B40" s="2" t="s">
        <v>44</v>
      </c>
      <c r="C40" s="2" t="s">
        <v>33</v>
      </c>
      <c r="D40" s="2" t="s">
        <v>46</v>
      </c>
      <c r="E40" s="2" t="s">
        <v>47</v>
      </c>
      <c r="F40" s="4">
        <v>37.200000000000003</v>
      </c>
      <c r="G40" s="4">
        <v>3400</v>
      </c>
      <c r="H40" s="2" t="s">
        <v>39</v>
      </c>
      <c r="I40" s="2" t="s">
        <v>23</v>
      </c>
      <c r="J40" s="3">
        <v>500</v>
      </c>
      <c r="K40" s="5">
        <v>0.94</v>
      </c>
      <c r="L40" s="4">
        <v>88.6</v>
      </c>
      <c r="M40" s="4">
        <v>2481.5</v>
      </c>
      <c r="N40" s="4">
        <v>34.700000000000003</v>
      </c>
      <c r="O40" s="4">
        <v>5.8</v>
      </c>
      <c r="P40" s="4">
        <v>3881</v>
      </c>
      <c r="Q40" s="5">
        <v>3.65</v>
      </c>
    </row>
    <row r="41" spans="1:17">
      <c r="A41" s="3">
        <v>39</v>
      </c>
      <c r="B41" s="2" t="s">
        <v>75</v>
      </c>
      <c r="C41" s="2" t="s">
        <v>19</v>
      </c>
      <c r="D41" s="2" t="s">
        <v>76</v>
      </c>
      <c r="E41" s="2" t="s">
        <v>21</v>
      </c>
      <c r="F41" s="4">
        <v>29.6</v>
      </c>
      <c r="G41" s="4">
        <v>3557.5</v>
      </c>
      <c r="H41" s="2" t="s">
        <v>36</v>
      </c>
      <c r="I41" s="2" t="s">
        <v>23</v>
      </c>
      <c r="J41" s="3">
        <v>250</v>
      </c>
      <c r="K41" s="5">
        <v>0.94</v>
      </c>
      <c r="L41" s="4">
        <v>73.599999999999994</v>
      </c>
      <c r="M41" s="4">
        <v>2501.3000000000002</v>
      </c>
      <c r="N41" s="4">
        <v>34.4</v>
      </c>
      <c r="O41" s="4">
        <v>9.8000000000000007</v>
      </c>
      <c r="P41" s="4">
        <v>1611.2</v>
      </c>
      <c r="Q41" s="5">
        <v>1.52</v>
      </c>
    </row>
    <row r="42" spans="1:17">
      <c r="A42" s="3">
        <v>40</v>
      </c>
      <c r="B42" s="2" t="s">
        <v>77</v>
      </c>
      <c r="C42" s="2" t="s">
        <v>78</v>
      </c>
      <c r="D42" s="2" t="s">
        <v>79</v>
      </c>
      <c r="E42" s="2" t="s">
        <v>21</v>
      </c>
      <c r="F42" s="4">
        <v>9.4</v>
      </c>
      <c r="G42" s="4">
        <v>3654.7</v>
      </c>
      <c r="H42" s="2" t="s">
        <v>36</v>
      </c>
      <c r="I42" s="2" t="s">
        <v>23</v>
      </c>
      <c r="J42" s="3">
        <v>270</v>
      </c>
      <c r="K42" s="5">
        <v>0.94</v>
      </c>
      <c r="L42" s="4">
        <v>63.4</v>
      </c>
      <c r="M42" s="4">
        <v>2483.9</v>
      </c>
      <c r="N42" s="4">
        <v>34.6</v>
      </c>
      <c r="O42" s="4">
        <v>7.7</v>
      </c>
      <c r="P42" s="4">
        <v>1499.1</v>
      </c>
      <c r="Q42" s="5">
        <v>1.41</v>
      </c>
    </row>
    <row r="43" spans="1:17">
      <c r="A43" s="3">
        <v>41</v>
      </c>
      <c r="B43" s="2" t="s">
        <v>80</v>
      </c>
      <c r="C43" s="2" t="s">
        <v>19</v>
      </c>
      <c r="D43" s="2" t="s">
        <v>81</v>
      </c>
      <c r="E43" s="2" t="s">
        <v>21</v>
      </c>
      <c r="F43" s="4">
        <v>12.9</v>
      </c>
      <c r="G43" s="4">
        <v>4074</v>
      </c>
      <c r="H43" s="2" t="s">
        <v>29</v>
      </c>
      <c r="I43" s="2" t="s">
        <v>23</v>
      </c>
      <c r="J43" s="3">
        <v>525</v>
      </c>
      <c r="K43" s="5">
        <v>0.94</v>
      </c>
      <c r="L43" s="4">
        <v>73.3</v>
      </c>
      <c r="M43" s="4">
        <v>2486.1</v>
      </c>
      <c r="N43" s="4">
        <v>34.6</v>
      </c>
      <c r="O43" s="4">
        <v>5.6</v>
      </c>
      <c r="P43" s="4">
        <v>3373.3</v>
      </c>
      <c r="Q43" s="5">
        <v>3.18</v>
      </c>
    </row>
    <row r="44" spans="1:17">
      <c r="A44" s="3">
        <v>42</v>
      </c>
      <c r="B44" s="2" t="s">
        <v>80</v>
      </c>
      <c r="C44" s="2" t="s">
        <v>24</v>
      </c>
      <c r="D44" s="2" t="s">
        <v>81</v>
      </c>
      <c r="E44" s="2" t="s">
        <v>21</v>
      </c>
      <c r="F44" s="4">
        <v>12</v>
      </c>
      <c r="G44" s="4">
        <v>4074</v>
      </c>
      <c r="H44" s="2" t="s">
        <v>29</v>
      </c>
      <c r="I44" s="2" t="s">
        <v>23</v>
      </c>
      <c r="J44" s="3">
        <v>525</v>
      </c>
      <c r="K44" s="5">
        <v>0.94</v>
      </c>
      <c r="L44" s="4">
        <v>81.7</v>
      </c>
      <c r="M44" s="4">
        <v>2486.1</v>
      </c>
      <c r="N44" s="4">
        <v>34.6</v>
      </c>
      <c r="O44" s="4">
        <v>5.6</v>
      </c>
      <c r="P44" s="4">
        <v>3756.8</v>
      </c>
      <c r="Q44" s="5">
        <v>3.54</v>
      </c>
    </row>
    <row r="45" spans="1:17">
      <c r="A45" s="3">
        <v>43</v>
      </c>
      <c r="B45" s="2" t="s">
        <v>53</v>
      </c>
      <c r="C45" s="2" t="s">
        <v>51</v>
      </c>
      <c r="D45" s="2" t="s">
        <v>46</v>
      </c>
      <c r="E45" s="2" t="s">
        <v>47</v>
      </c>
      <c r="F45" s="4">
        <v>34.799999999999997</v>
      </c>
      <c r="G45" s="4">
        <v>3497.5</v>
      </c>
      <c r="H45" s="2" t="s">
        <v>39</v>
      </c>
      <c r="I45" s="2" t="s">
        <v>23</v>
      </c>
      <c r="J45" s="3">
        <v>500</v>
      </c>
      <c r="K45" s="5">
        <v>0.94</v>
      </c>
      <c r="L45" s="4">
        <v>71.3</v>
      </c>
      <c r="M45" s="4">
        <v>2499.5</v>
      </c>
      <c r="N45" s="4">
        <v>34.4</v>
      </c>
      <c r="O45" s="4">
        <v>6.6</v>
      </c>
      <c r="P45" s="4">
        <v>3121.7</v>
      </c>
      <c r="Q45" s="5">
        <v>2.95</v>
      </c>
    </row>
    <row r="46" spans="1:17">
      <c r="A46" s="3">
        <v>44</v>
      </c>
      <c r="B46" s="2" t="s">
        <v>82</v>
      </c>
      <c r="C46" s="2" t="s">
        <v>24</v>
      </c>
      <c r="D46" s="2" t="s">
        <v>83</v>
      </c>
      <c r="E46" s="2" t="s">
        <v>21</v>
      </c>
      <c r="F46" s="4">
        <v>11.1</v>
      </c>
      <c r="G46" s="4">
        <v>3232.2</v>
      </c>
      <c r="H46" s="2" t="s">
        <v>39</v>
      </c>
      <c r="I46" s="2" t="s">
        <v>23</v>
      </c>
      <c r="J46" s="3">
        <v>350</v>
      </c>
      <c r="K46" s="5">
        <v>0.94</v>
      </c>
      <c r="L46" s="4">
        <v>71.400000000000006</v>
      </c>
      <c r="M46" s="4">
        <v>2493.1</v>
      </c>
      <c r="N46" s="4">
        <v>34.5</v>
      </c>
      <c r="O46" s="4">
        <v>6.7</v>
      </c>
      <c r="P46" s="4">
        <v>2187.6999999999998</v>
      </c>
      <c r="Q46" s="5">
        <v>2.06</v>
      </c>
    </row>
    <row r="47" spans="1:17">
      <c r="A47" s="3">
        <v>45</v>
      </c>
      <c r="B47" s="2" t="s">
        <v>84</v>
      </c>
      <c r="C47" s="2" t="s">
        <v>19</v>
      </c>
      <c r="D47" s="2" t="s">
        <v>34</v>
      </c>
      <c r="E47" s="2" t="s">
        <v>35</v>
      </c>
      <c r="F47" s="4">
        <v>14.2</v>
      </c>
      <c r="G47" s="4">
        <v>4006</v>
      </c>
      <c r="H47" s="2" t="s">
        <v>29</v>
      </c>
      <c r="I47" s="2" t="s">
        <v>23</v>
      </c>
      <c r="J47" s="3">
        <v>500</v>
      </c>
      <c r="K47" s="5">
        <v>0.94</v>
      </c>
      <c r="L47" s="4">
        <v>68</v>
      </c>
      <c r="M47" s="4">
        <v>2486.4</v>
      </c>
      <c r="N47" s="4">
        <v>34.6</v>
      </c>
      <c r="O47" s="4">
        <v>5.9</v>
      </c>
      <c r="P47" s="4">
        <v>2979</v>
      </c>
      <c r="Q47" s="5">
        <v>2.81</v>
      </c>
    </row>
    <row r="48" spans="1:17">
      <c r="A48" s="3">
        <v>46</v>
      </c>
      <c r="B48" s="2" t="s">
        <v>40</v>
      </c>
      <c r="C48" s="2" t="s">
        <v>24</v>
      </c>
      <c r="D48" s="2" t="s">
        <v>42</v>
      </c>
      <c r="E48" s="2" t="s">
        <v>21</v>
      </c>
      <c r="F48" s="4">
        <v>10.4</v>
      </c>
      <c r="G48" s="4">
        <v>2975.2</v>
      </c>
      <c r="H48" s="2" t="s">
        <v>43</v>
      </c>
      <c r="I48" s="2" t="s">
        <v>23</v>
      </c>
      <c r="J48" s="3">
        <v>600</v>
      </c>
      <c r="K48" s="5">
        <v>0.94</v>
      </c>
      <c r="L48" s="4">
        <v>62.4</v>
      </c>
      <c r="M48" s="4">
        <v>2497.6999999999998</v>
      </c>
      <c r="N48" s="4">
        <v>34.4</v>
      </c>
      <c r="O48" s="4">
        <v>5.3</v>
      </c>
      <c r="P48" s="4">
        <v>3277.3</v>
      </c>
      <c r="Q48" s="5">
        <v>3.1</v>
      </c>
    </row>
    <row r="49" spans="1:17">
      <c r="A49" s="3">
        <v>47</v>
      </c>
      <c r="B49" s="2" t="s">
        <v>44</v>
      </c>
      <c r="C49" s="2" t="s">
        <v>51</v>
      </c>
      <c r="D49" s="2" t="s">
        <v>46</v>
      </c>
      <c r="E49" s="2" t="s">
        <v>47</v>
      </c>
      <c r="F49" s="4">
        <v>35.5</v>
      </c>
      <c r="G49" s="4">
        <v>3394</v>
      </c>
      <c r="H49" s="2" t="s">
        <v>39</v>
      </c>
      <c r="I49" s="2" t="s">
        <v>23</v>
      </c>
      <c r="J49" s="3">
        <v>500</v>
      </c>
      <c r="K49" s="5">
        <v>0.95</v>
      </c>
      <c r="L49" s="4">
        <v>82.4</v>
      </c>
      <c r="M49" s="4">
        <v>2492.1999999999998</v>
      </c>
      <c r="N49" s="4">
        <v>34.5</v>
      </c>
      <c r="O49" s="4">
        <v>5.5</v>
      </c>
      <c r="P49" s="4">
        <v>3609.2</v>
      </c>
      <c r="Q49" s="5">
        <v>3.41</v>
      </c>
    </row>
    <row r="50" spans="1:17">
      <c r="A50" s="3">
        <v>48</v>
      </c>
      <c r="B50" s="2" t="s">
        <v>75</v>
      </c>
      <c r="C50" s="2" t="s">
        <v>24</v>
      </c>
      <c r="D50" s="2" t="s">
        <v>76</v>
      </c>
      <c r="E50" s="2" t="s">
        <v>21</v>
      </c>
      <c r="F50" s="4">
        <v>29.4</v>
      </c>
      <c r="G50" s="4">
        <v>3553.6</v>
      </c>
      <c r="H50" s="2" t="s">
        <v>36</v>
      </c>
      <c r="I50" s="2" t="s">
        <v>23</v>
      </c>
      <c r="J50" s="3">
        <v>250</v>
      </c>
      <c r="K50" s="5">
        <v>0.95</v>
      </c>
      <c r="L50" s="4">
        <v>70.400000000000006</v>
      </c>
      <c r="M50" s="4">
        <v>2511</v>
      </c>
      <c r="N50" s="4">
        <v>34.200000000000003</v>
      </c>
      <c r="O50" s="4">
        <v>9.9</v>
      </c>
      <c r="P50" s="4">
        <v>1542.7</v>
      </c>
      <c r="Q50" s="5">
        <v>1.46</v>
      </c>
    </row>
    <row r="51" spans="1:17">
      <c r="A51" s="3">
        <v>49</v>
      </c>
      <c r="B51" s="2" t="s">
        <v>67</v>
      </c>
      <c r="C51" s="2" t="s">
        <v>85</v>
      </c>
      <c r="D51" s="2" t="s">
        <v>46</v>
      </c>
      <c r="E51" s="2" t="s">
        <v>47</v>
      </c>
      <c r="F51" s="4">
        <v>9</v>
      </c>
      <c r="G51" s="4">
        <v>3693.2</v>
      </c>
      <c r="H51" s="2" t="s">
        <v>36</v>
      </c>
      <c r="I51" s="2" t="s">
        <v>23</v>
      </c>
      <c r="J51" s="3">
        <v>500</v>
      </c>
      <c r="K51" s="5">
        <v>0.95</v>
      </c>
      <c r="L51" s="4">
        <v>85.1</v>
      </c>
      <c r="M51" s="4">
        <v>2493.4</v>
      </c>
      <c r="N51" s="4">
        <v>34.5</v>
      </c>
      <c r="O51" s="4">
        <v>6.4</v>
      </c>
      <c r="P51" s="4">
        <v>3727</v>
      </c>
      <c r="Q51" s="5">
        <v>3.53</v>
      </c>
    </row>
    <row r="52" spans="1:17">
      <c r="A52" s="3">
        <v>50</v>
      </c>
      <c r="B52" s="2" t="s">
        <v>65</v>
      </c>
      <c r="C52" s="2" t="s">
        <v>19</v>
      </c>
      <c r="D52" s="2" t="s">
        <v>46</v>
      </c>
      <c r="E52" s="2" t="s">
        <v>47</v>
      </c>
      <c r="F52" s="4">
        <v>17.2</v>
      </c>
      <c r="G52" s="4">
        <v>3454.5</v>
      </c>
      <c r="H52" s="2" t="s">
        <v>39</v>
      </c>
      <c r="I52" s="2" t="s">
        <v>23</v>
      </c>
      <c r="J52" s="3">
        <v>500</v>
      </c>
      <c r="K52" s="5">
        <v>0.95</v>
      </c>
      <c r="L52" s="4">
        <v>76.3</v>
      </c>
      <c r="M52" s="4">
        <v>2502.6999999999998</v>
      </c>
      <c r="N52" s="4">
        <v>34.4</v>
      </c>
      <c r="O52" s="4">
        <v>5.9</v>
      </c>
      <c r="P52" s="4">
        <v>3344.1</v>
      </c>
      <c r="Q52" s="5">
        <v>3.17</v>
      </c>
    </row>
    <row r="53" spans="1:17">
      <c r="A53" s="3">
        <v>51</v>
      </c>
      <c r="B53" s="2" t="s">
        <v>86</v>
      </c>
      <c r="C53" s="2" t="s">
        <v>19</v>
      </c>
      <c r="D53" s="2" t="s">
        <v>87</v>
      </c>
      <c r="E53" s="2" t="s">
        <v>21</v>
      </c>
      <c r="F53" s="4">
        <v>7.3</v>
      </c>
      <c r="G53" s="4">
        <v>3117.9</v>
      </c>
      <c r="H53" s="2" t="s">
        <v>39</v>
      </c>
      <c r="I53" s="2" t="s">
        <v>23</v>
      </c>
      <c r="J53" s="3">
        <v>600</v>
      </c>
      <c r="K53" s="5">
        <v>0.95</v>
      </c>
      <c r="L53" s="4">
        <v>70.599999999999994</v>
      </c>
      <c r="M53" s="4">
        <v>2495.9</v>
      </c>
      <c r="N53" s="4">
        <v>34.4</v>
      </c>
      <c r="O53" s="4">
        <v>6.5</v>
      </c>
      <c r="P53" s="4">
        <v>3710.3</v>
      </c>
      <c r="Q53" s="5">
        <v>3.51</v>
      </c>
    </row>
    <row r="54" spans="1:17">
      <c r="A54" s="3">
        <v>52</v>
      </c>
      <c r="B54" s="2" t="s">
        <v>88</v>
      </c>
      <c r="C54" s="2" t="s">
        <v>24</v>
      </c>
      <c r="D54" s="2" t="s">
        <v>89</v>
      </c>
      <c r="E54" s="2" t="s">
        <v>21</v>
      </c>
      <c r="F54" s="4">
        <v>9.4</v>
      </c>
      <c r="G54" s="4">
        <v>3334.6</v>
      </c>
      <c r="H54" s="2" t="s">
        <v>39</v>
      </c>
      <c r="I54" s="2" t="s">
        <v>23</v>
      </c>
      <c r="J54" s="3">
        <v>600</v>
      </c>
      <c r="K54" s="5">
        <v>0.95</v>
      </c>
      <c r="L54" s="4">
        <v>64.5</v>
      </c>
      <c r="M54" s="4">
        <v>2496.8000000000002</v>
      </c>
      <c r="N54" s="4">
        <v>34.4</v>
      </c>
      <c r="O54" s="4">
        <v>5.4</v>
      </c>
      <c r="P54" s="4">
        <v>3391</v>
      </c>
      <c r="Q54" s="5">
        <v>3.21</v>
      </c>
    </row>
    <row r="55" spans="1:17">
      <c r="A55" s="3">
        <v>53</v>
      </c>
      <c r="B55" s="2" t="s">
        <v>82</v>
      </c>
      <c r="C55" s="2" t="s">
        <v>19</v>
      </c>
      <c r="D55" s="2" t="s">
        <v>83</v>
      </c>
      <c r="E55" s="2" t="s">
        <v>21</v>
      </c>
      <c r="F55" s="4">
        <v>11.5</v>
      </c>
      <c r="G55" s="4">
        <v>3197</v>
      </c>
      <c r="H55" s="2" t="s">
        <v>39</v>
      </c>
      <c r="I55" s="2" t="s">
        <v>23</v>
      </c>
      <c r="J55" s="3">
        <v>350</v>
      </c>
      <c r="K55" s="5">
        <v>0.95</v>
      </c>
      <c r="L55" s="4">
        <v>71.5</v>
      </c>
      <c r="M55" s="4">
        <v>2501.8000000000002</v>
      </c>
      <c r="N55" s="4">
        <v>34.4</v>
      </c>
      <c r="O55" s="4">
        <v>6.9</v>
      </c>
      <c r="P55" s="4">
        <v>2191.5</v>
      </c>
      <c r="Q55" s="5">
        <v>2.08</v>
      </c>
    </row>
    <row r="56" spans="1:17">
      <c r="A56" s="3">
        <v>54</v>
      </c>
      <c r="B56" s="2" t="s">
        <v>59</v>
      </c>
      <c r="C56" s="2" t="s">
        <v>24</v>
      </c>
      <c r="D56" s="2" t="s">
        <v>60</v>
      </c>
      <c r="E56" s="2" t="s">
        <v>21</v>
      </c>
      <c r="F56" s="4">
        <v>12.1</v>
      </c>
      <c r="G56" s="4">
        <v>5060</v>
      </c>
      <c r="H56" s="2" t="s">
        <v>22</v>
      </c>
      <c r="I56" s="2" t="s">
        <v>23</v>
      </c>
      <c r="J56" s="3">
        <v>600</v>
      </c>
      <c r="K56" s="5">
        <v>0.95</v>
      </c>
      <c r="L56" s="4">
        <v>21</v>
      </c>
      <c r="M56" s="4">
        <v>2650</v>
      </c>
      <c r="N56" s="4">
        <v>32.4</v>
      </c>
      <c r="O56" s="4">
        <v>7</v>
      </c>
      <c r="P56" s="4">
        <v>1104.8</v>
      </c>
      <c r="Q56" s="5">
        <v>1.05</v>
      </c>
    </row>
    <row r="57" spans="1:17">
      <c r="A57" s="3">
        <v>55</v>
      </c>
      <c r="B57" s="2" t="s">
        <v>74</v>
      </c>
      <c r="C57" s="2" t="s">
        <v>19</v>
      </c>
      <c r="D57" s="2" t="s">
        <v>46</v>
      </c>
      <c r="E57" s="2" t="s">
        <v>47</v>
      </c>
      <c r="F57" s="4">
        <v>12.3</v>
      </c>
      <c r="G57" s="4">
        <v>3372</v>
      </c>
      <c r="H57" s="2" t="s">
        <v>39</v>
      </c>
      <c r="I57" s="2" t="s">
        <v>23</v>
      </c>
      <c r="J57" s="3">
        <v>500</v>
      </c>
      <c r="K57" s="5">
        <v>0.95</v>
      </c>
      <c r="L57" s="4">
        <v>63</v>
      </c>
      <c r="M57" s="4">
        <v>2515.8000000000002</v>
      </c>
      <c r="N57" s="4">
        <v>34.200000000000003</v>
      </c>
      <c r="O57" s="4">
        <v>6.2</v>
      </c>
      <c r="P57" s="4">
        <v>2760.1</v>
      </c>
      <c r="Q57" s="5">
        <v>2.62</v>
      </c>
    </row>
    <row r="58" spans="1:17">
      <c r="A58" s="3">
        <v>56</v>
      </c>
      <c r="B58" s="2" t="s">
        <v>90</v>
      </c>
      <c r="C58" s="2" t="s">
        <v>45</v>
      </c>
      <c r="D58" s="2" t="s">
        <v>46</v>
      </c>
      <c r="E58" s="2" t="s">
        <v>47</v>
      </c>
      <c r="F58" s="4">
        <v>15.1</v>
      </c>
      <c r="G58" s="4">
        <v>3494.5</v>
      </c>
      <c r="H58" s="2" t="s">
        <v>39</v>
      </c>
      <c r="I58" s="2" t="s">
        <v>23</v>
      </c>
      <c r="J58" s="3">
        <v>500</v>
      </c>
      <c r="K58" s="5">
        <v>0.95</v>
      </c>
      <c r="L58" s="4">
        <v>80.400000000000006</v>
      </c>
      <c r="M58" s="4">
        <v>2509.1</v>
      </c>
      <c r="N58" s="4">
        <v>34.299999999999997</v>
      </c>
      <c r="O58" s="4">
        <v>5.4</v>
      </c>
      <c r="P58" s="4">
        <v>3522.5</v>
      </c>
      <c r="Q58" s="5">
        <v>3.34</v>
      </c>
    </row>
    <row r="59" spans="1:17">
      <c r="A59" s="3">
        <v>57</v>
      </c>
      <c r="B59" s="2" t="s">
        <v>67</v>
      </c>
      <c r="C59" s="2" t="s">
        <v>91</v>
      </c>
      <c r="D59" s="2" t="s">
        <v>46</v>
      </c>
      <c r="E59" s="2" t="s">
        <v>47</v>
      </c>
      <c r="F59" s="4">
        <v>17.399999999999999</v>
      </c>
      <c r="G59" s="4">
        <v>3707.1</v>
      </c>
      <c r="H59" s="2" t="s">
        <v>36</v>
      </c>
      <c r="I59" s="2" t="s">
        <v>23</v>
      </c>
      <c r="J59" s="3">
        <v>500</v>
      </c>
      <c r="K59" s="5">
        <v>0.95</v>
      </c>
      <c r="L59" s="4">
        <v>78.400000000000006</v>
      </c>
      <c r="M59" s="4">
        <v>2500.8000000000002</v>
      </c>
      <c r="N59" s="4">
        <v>34.4</v>
      </c>
      <c r="O59" s="4">
        <v>5.6</v>
      </c>
      <c r="P59" s="4">
        <v>3433.4</v>
      </c>
      <c r="Q59" s="5">
        <v>3.26</v>
      </c>
    </row>
    <row r="60" spans="1:17">
      <c r="A60" s="3">
        <v>58</v>
      </c>
      <c r="B60" s="2" t="s">
        <v>92</v>
      </c>
      <c r="C60" s="2" t="s">
        <v>19</v>
      </c>
      <c r="D60" s="2" t="s">
        <v>93</v>
      </c>
      <c r="E60" s="2" t="s">
        <v>35</v>
      </c>
      <c r="F60" s="4">
        <v>16.600000000000001</v>
      </c>
      <c r="G60" s="4">
        <v>3797</v>
      </c>
      <c r="H60" s="2" t="s">
        <v>36</v>
      </c>
      <c r="I60" s="2" t="s">
        <v>23</v>
      </c>
      <c r="J60" s="3">
        <v>300</v>
      </c>
      <c r="K60" s="5">
        <v>0.95</v>
      </c>
      <c r="L60" s="4">
        <v>78.099999999999994</v>
      </c>
      <c r="M60" s="4">
        <v>2501.3000000000002</v>
      </c>
      <c r="N60" s="4">
        <v>34.4</v>
      </c>
      <c r="O60" s="4">
        <v>10.6</v>
      </c>
      <c r="P60" s="4">
        <v>2052.9</v>
      </c>
      <c r="Q60" s="5">
        <v>1.95</v>
      </c>
    </row>
    <row r="61" spans="1:17">
      <c r="A61" s="3">
        <v>59</v>
      </c>
      <c r="B61" s="2" t="s">
        <v>92</v>
      </c>
      <c r="C61" s="2" t="s">
        <v>24</v>
      </c>
      <c r="D61" s="2" t="s">
        <v>93</v>
      </c>
      <c r="E61" s="2" t="s">
        <v>35</v>
      </c>
      <c r="F61" s="4">
        <v>16</v>
      </c>
      <c r="G61" s="4">
        <v>3797</v>
      </c>
      <c r="H61" s="2" t="s">
        <v>36</v>
      </c>
      <c r="I61" s="2" t="s">
        <v>23</v>
      </c>
      <c r="J61" s="3">
        <v>300</v>
      </c>
      <c r="K61" s="5">
        <v>0.95</v>
      </c>
      <c r="L61" s="4">
        <v>76.8</v>
      </c>
      <c r="M61" s="4">
        <v>2501.3000000000002</v>
      </c>
      <c r="N61" s="4">
        <v>34.4</v>
      </c>
      <c r="O61" s="4">
        <v>10.6</v>
      </c>
      <c r="P61" s="4">
        <v>2018.8</v>
      </c>
      <c r="Q61" s="5">
        <v>1.92</v>
      </c>
    </row>
    <row r="62" spans="1:17">
      <c r="A62" s="3">
        <v>60</v>
      </c>
      <c r="B62" s="2" t="s">
        <v>94</v>
      </c>
      <c r="C62" s="2" t="s">
        <v>51</v>
      </c>
      <c r="D62" s="2" t="s">
        <v>46</v>
      </c>
      <c r="E62" s="2" t="s">
        <v>47</v>
      </c>
      <c r="F62" s="4">
        <v>14</v>
      </c>
      <c r="G62" s="4">
        <v>3805.9</v>
      </c>
      <c r="H62" s="2" t="s">
        <v>36</v>
      </c>
      <c r="I62" s="2" t="s">
        <v>23</v>
      </c>
      <c r="J62" s="3">
        <v>490</v>
      </c>
      <c r="K62" s="5">
        <v>0.95</v>
      </c>
      <c r="L62" s="4">
        <v>56.4</v>
      </c>
      <c r="M62" s="4">
        <v>2527.4</v>
      </c>
      <c r="N62" s="4">
        <v>34</v>
      </c>
      <c r="O62" s="4">
        <v>5.9</v>
      </c>
      <c r="P62" s="4">
        <v>2420.8000000000002</v>
      </c>
      <c r="Q62" s="5">
        <v>2.2999999999999998</v>
      </c>
    </row>
    <row r="63" spans="1:17">
      <c r="A63" s="3">
        <v>61</v>
      </c>
      <c r="B63" s="2" t="s">
        <v>82</v>
      </c>
      <c r="C63" s="2" t="s">
        <v>41</v>
      </c>
      <c r="D63" s="2" t="s">
        <v>83</v>
      </c>
      <c r="E63" s="2" t="s">
        <v>21</v>
      </c>
      <c r="F63" s="4">
        <v>10.4</v>
      </c>
      <c r="G63" s="4">
        <v>3223.6</v>
      </c>
      <c r="H63" s="2" t="s">
        <v>39</v>
      </c>
      <c r="I63" s="2" t="s">
        <v>23</v>
      </c>
      <c r="J63" s="3">
        <v>350</v>
      </c>
      <c r="K63" s="5">
        <v>0.95</v>
      </c>
      <c r="L63" s="4">
        <v>72.2</v>
      </c>
      <c r="M63" s="4">
        <v>2508.6999999999998</v>
      </c>
      <c r="N63" s="4">
        <v>34.299999999999997</v>
      </c>
      <c r="O63" s="4">
        <v>7.1</v>
      </c>
      <c r="P63" s="4">
        <v>2212.6999999999998</v>
      </c>
      <c r="Q63" s="5">
        <v>2.1</v>
      </c>
    </row>
    <row r="64" spans="1:17">
      <c r="A64" s="3">
        <v>62</v>
      </c>
      <c r="B64" s="2" t="s">
        <v>48</v>
      </c>
      <c r="C64" s="2" t="s">
        <v>41</v>
      </c>
      <c r="D64" s="2" t="s">
        <v>49</v>
      </c>
      <c r="E64" s="2" t="s">
        <v>21</v>
      </c>
      <c r="F64" s="4">
        <v>15.1</v>
      </c>
      <c r="G64" s="4">
        <v>3761</v>
      </c>
      <c r="H64" s="2" t="s">
        <v>36</v>
      </c>
      <c r="I64" s="2" t="s">
        <v>23</v>
      </c>
      <c r="J64" s="3">
        <v>250</v>
      </c>
      <c r="K64" s="5">
        <v>0.95</v>
      </c>
      <c r="L64" s="4">
        <v>81.400000000000006</v>
      </c>
      <c r="M64" s="4">
        <v>2502.6</v>
      </c>
      <c r="N64" s="4">
        <v>34.4</v>
      </c>
      <c r="O64" s="4">
        <v>7.9</v>
      </c>
      <c r="P64" s="4">
        <v>1783.4</v>
      </c>
      <c r="Q64" s="5">
        <v>1.69</v>
      </c>
    </row>
    <row r="65" spans="1:17">
      <c r="A65" s="3">
        <v>63</v>
      </c>
      <c r="B65" s="2" t="s">
        <v>90</v>
      </c>
      <c r="C65" s="2" t="s">
        <v>51</v>
      </c>
      <c r="D65" s="2" t="s">
        <v>46</v>
      </c>
      <c r="E65" s="2" t="s">
        <v>47</v>
      </c>
      <c r="F65" s="4">
        <v>16.399999999999999</v>
      </c>
      <c r="G65" s="4">
        <v>3506.3</v>
      </c>
      <c r="H65" s="2" t="s">
        <v>36</v>
      </c>
      <c r="I65" s="2" t="s">
        <v>23</v>
      </c>
      <c r="J65" s="3">
        <v>500</v>
      </c>
      <c r="K65" s="5">
        <v>0.95</v>
      </c>
      <c r="L65" s="4">
        <v>75.2</v>
      </c>
      <c r="M65" s="4">
        <v>2512.1999999999998</v>
      </c>
      <c r="N65" s="4">
        <v>34.200000000000003</v>
      </c>
      <c r="O65" s="4">
        <v>5.7</v>
      </c>
      <c r="P65" s="4">
        <v>3293.2</v>
      </c>
      <c r="Q65" s="5">
        <v>3.13</v>
      </c>
    </row>
    <row r="66" spans="1:17">
      <c r="A66" s="3">
        <v>64</v>
      </c>
      <c r="B66" s="2" t="s">
        <v>67</v>
      </c>
      <c r="C66" s="2" t="s">
        <v>63</v>
      </c>
      <c r="D66" s="2" t="s">
        <v>46</v>
      </c>
      <c r="E66" s="2" t="s">
        <v>47</v>
      </c>
      <c r="F66" s="4">
        <v>18</v>
      </c>
      <c r="G66" s="4">
        <v>3691.8</v>
      </c>
      <c r="H66" s="2" t="s">
        <v>36</v>
      </c>
      <c r="I66" s="2" t="s">
        <v>23</v>
      </c>
      <c r="J66" s="3">
        <v>500</v>
      </c>
      <c r="K66" s="5">
        <v>0.95</v>
      </c>
      <c r="L66" s="4">
        <v>81.900000000000006</v>
      </c>
      <c r="M66" s="4">
        <v>2503.6999999999998</v>
      </c>
      <c r="N66" s="4">
        <v>34.299999999999997</v>
      </c>
      <c r="O66" s="4">
        <v>5.5</v>
      </c>
      <c r="P66" s="4">
        <v>3585.8</v>
      </c>
      <c r="Q66" s="5">
        <v>3.41</v>
      </c>
    </row>
    <row r="67" spans="1:17">
      <c r="A67" s="3">
        <v>65</v>
      </c>
      <c r="B67" s="2" t="s">
        <v>95</v>
      </c>
      <c r="C67" s="2" t="s">
        <v>33</v>
      </c>
      <c r="D67" s="2" t="s">
        <v>46</v>
      </c>
      <c r="E67" s="2" t="s">
        <v>47</v>
      </c>
      <c r="F67" s="4">
        <v>12.4</v>
      </c>
      <c r="G67" s="4">
        <v>3056.2</v>
      </c>
      <c r="H67" s="2" t="s">
        <v>39</v>
      </c>
      <c r="I67" s="2" t="s">
        <v>23</v>
      </c>
      <c r="J67" s="3">
        <v>500</v>
      </c>
      <c r="K67" s="5">
        <v>0.95</v>
      </c>
      <c r="L67" s="4">
        <v>62.9</v>
      </c>
      <c r="M67" s="4">
        <v>2518.8000000000002</v>
      </c>
      <c r="N67" s="4">
        <v>34.1</v>
      </c>
      <c r="O67" s="4">
        <v>6</v>
      </c>
      <c r="P67" s="4">
        <v>2755.6</v>
      </c>
      <c r="Q67" s="5">
        <v>2.62</v>
      </c>
    </row>
    <row r="68" spans="1:17">
      <c r="A68" s="3">
        <v>66</v>
      </c>
      <c r="B68" s="2" t="s">
        <v>44</v>
      </c>
      <c r="C68" s="2" t="s">
        <v>78</v>
      </c>
      <c r="D68" s="2" t="s">
        <v>46</v>
      </c>
      <c r="E68" s="2" t="s">
        <v>47</v>
      </c>
      <c r="F68" s="4">
        <v>36.4</v>
      </c>
      <c r="G68" s="4">
        <v>3404</v>
      </c>
      <c r="H68" s="2" t="s">
        <v>39</v>
      </c>
      <c r="I68" s="2" t="s">
        <v>23</v>
      </c>
      <c r="J68" s="3">
        <v>500</v>
      </c>
      <c r="K68" s="5">
        <v>0.95</v>
      </c>
      <c r="L68" s="4">
        <v>90.7</v>
      </c>
      <c r="M68" s="4">
        <v>2506.8000000000002</v>
      </c>
      <c r="N68" s="4">
        <v>34.299999999999997</v>
      </c>
      <c r="O68" s="4">
        <v>5.6</v>
      </c>
      <c r="P68" s="4">
        <v>3972.4</v>
      </c>
      <c r="Q68" s="5">
        <v>3.78</v>
      </c>
    </row>
    <row r="69" spans="1:17">
      <c r="A69" s="3">
        <v>67</v>
      </c>
      <c r="B69" s="2" t="s">
        <v>96</v>
      </c>
      <c r="C69" s="2" t="s">
        <v>33</v>
      </c>
      <c r="D69" s="2" t="s">
        <v>46</v>
      </c>
      <c r="E69" s="2" t="s">
        <v>47</v>
      </c>
      <c r="F69" s="4">
        <v>20.8</v>
      </c>
      <c r="G69" s="4">
        <v>3368.1</v>
      </c>
      <c r="H69" s="2" t="s">
        <v>39</v>
      </c>
      <c r="I69" s="2" t="s">
        <v>23</v>
      </c>
      <c r="J69" s="3">
        <v>500</v>
      </c>
      <c r="K69" s="5">
        <v>0.95</v>
      </c>
      <c r="L69" s="4">
        <v>89.9</v>
      </c>
      <c r="M69" s="4">
        <v>2511.6</v>
      </c>
      <c r="N69" s="4">
        <v>34.200000000000003</v>
      </c>
      <c r="O69" s="4">
        <v>5.5</v>
      </c>
      <c r="P69" s="4">
        <v>3939</v>
      </c>
      <c r="Q69" s="5">
        <v>3.75</v>
      </c>
    </row>
    <row r="70" spans="1:17">
      <c r="A70" s="3">
        <v>68</v>
      </c>
      <c r="B70" s="2" t="s">
        <v>97</v>
      </c>
      <c r="C70" s="2" t="s">
        <v>19</v>
      </c>
      <c r="D70" s="2" t="s">
        <v>98</v>
      </c>
      <c r="E70" s="2" t="s">
        <v>21</v>
      </c>
      <c r="F70" s="4">
        <v>2.7</v>
      </c>
      <c r="G70" s="4">
        <v>4788.7</v>
      </c>
      <c r="H70" s="2" t="s">
        <v>99</v>
      </c>
      <c r="I70" s="2" t="s">
        <v>23</v>
      </c>
      <c r="J70" s="3">
        <v>525</v>
      </c>
      <c r="K70" s="5">
        <v>0.95</v>
      </c>
      <c r="L70" s="4">
        <v>18.7</v>
      </c>
      <c r="M70" s="4">
        <v>2639.9</v>
      </c>
      <c r="N70" s="4">
        <v>32.6</v>
      </c>
      <c r="O70" s="4">
        <v>6.6</v>
      </c>
      <c r="P70" s="4">
        <v>861.9</v>
      </c>
      <c r="Q70" s="5">
        <v>0.82</v>
      </c>
    </row>
    <row r="71" spans="1:17">
      <c r="A71" s="3">
        <v>69</v>
      </c>
      <c r="B71" s="2" t="s">
        <v>100</v>
      </c>
      <c r="C71" s="2" t="s">
        <v>19</v>
      </c>
      <c r="D71" s="2" t="s">
        <v>101</v>
      </c>
      <c r="E71" s="2" t="s">
        <v>21</v>
      </c>
      <c r="F71" s="4">
        <v>14.5</v>
      </c>
      <c r="G71" s="4">
        <v>3835</v>
      </c>
      <c r="H71" s="2" t="s">
        <v>36</v>
      </c>
      <c r="I71" s="2" t="s">
        <v>23</v>
      </c>
      <c r="J71" s="3">
        <v>300</v>
      </c>
      <c r="K71" s="5">
        <v>0.95</v>
      </c>
      <c r="L71" s="4">
        <v>65.8</v>
      </c>
      <c r="M71" s="4">
        <v>2510.3000000000002</v>
      </c>
      <c r="N71" s="4">
        <v>34.299999999999997</v>
      </c>
      <c r="O71" s="4">
        <v>8.3000000000000007</v>
      </c>
      <c r="P71" s="4">
        <v>1728.6</v>
      </c>
      <c r="Q71" s="5">
        <v>1.65</v>
      </c>
    </row>
    <row r="72" spans="1:17">
      <c r="A72" s="3">
        <v>70</v>
      </c>
      <c r="B72" s="2" t="s">
        <v>67</v>
      </c>
      <c r="C72" s="2" t="s">
        <v>57</v>
      </c>
      <c r="D72" s="2" t="s">
        <v>46</v>
      </c>
      <c r="E72" s="2" t="s">
        <v>47</v>
      </c>
      <c r="F72" s="4">
        <v>24.4</v>
      </c>
      <c r="G72" s="4">
        <v>3705.2</v>
      </c>
      <c r="H72" s="2" t="s">
        <v>36</v>
      </c>
      <c r="I72" s="2" t="s">
        <v>23</v>
      </c>
      <c r="J72" s="3">
        <v>500</v>
      </c>
      <c r="K72" s="5">
        <v>0.95</v>
      </c>
      <c r="L72" s="4">
        <v>79.3</v>
      </c>
      <c r="M72" s="4">
        <v>2511.9</v>
      </c>
      <c r="N72" s="4">
        <v>34.200000000000003</v>
      </c>
      <c r="O72" s="4">
        <v>6.1</v>
      </c>
      <c r="P72" s="4">
        <v>3473.6</v>
      </c>
      <c r="Q72" s="5">
        <v>3.31</v>
      </c>
    </row>
    <row r="73" spans="1:17">
      <c r="A73" s="3">
        <v>71</v>
      </c>
      <c r="B73" s="2" t="s">
        <v>53</v>
      </c>
      <c r="C73" s="2" t="s">
        <v>78</v>
      </c>
      <c r="D73" s="2" t="s">
        <v>46</v>
      </c>
      <c r="E73" s="2" t="s">
        <v>47</v>
      </c>
      <c r="F73" s="4">
        <v>35.4</v>
      </c>
      <c r="G73" s="4">
        <v>3507.3</v>
      </c>
      <c r="H73" s="2" t="s">
        <v>36</v>
      </c>
      <c r="I73" s="2" t="s">
        <v>23</v>
      </c>
      <c r="J73" s="3">
        <v>500</v>
      </c>
      <c r="K73" s="5">
        <v>0.95</v>
      </c>
      <c r="L73" s="4">
        <v>62.5</v>
      </c>
      <c r="M73" s="4">
        <v>2530.1</v>
      </c>
      <c r="N73" s="4">
        <v>34</v>
      </c>
      <c r="O73" s="4">
        <v>7</v>
      </c>
      <c r="P73" s="4">
        <v>2735.4</v>
      </c>
      <c r="Q73" s="5">
        <v>2.61</v>
      </c>
    </row>
    <row r="74" spans="1:17">
      <c r="A74" s="3">
        <v>72</v>
      </c>
      <c r="B74" s="2" t="s">
        <v>88</v>
      </c>
      <c r="C74" s="2" t="s">
        <v>19</v>
      </c>
      <c r="D74" s="2" t="s">
        <v>89</v>
      </c>
      <c r="E74" s="2" t="s">
        <v>21</v>
      </c>
      <c r="F74" s="4">
        <v>10.5</v>
      </c>
      <c r="G74" s="4">
        <v>3339</v>
      </c>
      <c r="H74" s="2" t="s">
        <v>39</v>
      </c>
      <c r="I74" s="2" t="s">
        <v>23</v>
      </c>
      <c r="J74" s="3">
        <v>600</v>
      </c>
      <c r="K74" s="5">
        <v>0.96</v>
      </c>
      <c r="L74" s="4">
        <v>72.599999999999994</v>
      </c>
      <c r="M74" s="4">
        <v>2521.3000000000002</v>
      </c>
      <c r="N74" s="4">
        <v>34.1</v>
      </c>
      <c r="O74" s="4">
        <v>5.7</v>
      </c>
      <c r="P74" s="4">
        <v>3818</v>
      </c>
      <c r="Q74" s="5">
        <v>3.65</v>
      </c>
    </row>
    <row r="75" spans="1:17">
      <c r="A75" s="3">
        <v>73</v>
      </c>
      <c r="B75" s="2" t="s">
        <v>96</v>
      </c>
      <c r="C75" s="2" t="s">
        <v>51</v>
      </c>
      <c r="D75" s="2" t="s">
        <v>46</v>
      </c>
      <c r="E75" s="2" t="s">
        <v>47</v>
      </c>
      <c r="F75" s="4">
        <v>19.5</v>
      </c>
      <c r="G75" s="4">
        <v>3361.8</v>
      </c>
      <c r="H75" s="2" t="s">
        <v>39</v>
      </c>
      <c r="I75" s="2" t="s">
        <v>23</v>
      </c>
      <c r="J75" s="3">
        <v>500</v>
      </c>
      <c r="K75" s="5">
        <v>0.96</v>
      </c>
      <c r="L75" s="4">
        <v>79.400000000000006</v>
      </c>
      <c r="M75" s="4">
        <v>2520</v>
      </c>
      <c r="N75" s="4">
        <v>34.1</v>
      </c>
      <c r="O75" s="4">
        <v>5.5</v>
      </c>
      <c r="P75" s="4">
        <v>3479.2</v>
      </c>
      <c r="Q75" s="5">
        <v>3.32</v>
      </c>
    </row>
    <row r="76" spans="1:17">
      <c r="A76" s="3">
        <v>74</v>
      </c>
      <c r="B76" s="2" t="s">
        <v>102</v>
      </c>
      <c r="C76" s="2" t="s">
        <v>19</v>
      </c>
      <c r="D76" s="2" t="s">
        <v>103</v>
      </c>
      <c r="E76" s="2" t="s">
        <v>21</v>
      </c>
      <c r="F76" s="4">
        <v>10.199999999999999</v>
      </c>
      <c r="G76" s="4">
        <v>3379.7</v>
      </c>
      <c r="H76" s="2" t="s">
        <v>39</v>
      </c>
      <c r="I76" s="2" t="s">
        <v>23</v>
      </c>
      <c r="J76" s="3">
        <v>600</v>
      </c>
      <c r="K76" s="5">
        <v>0.96</v>
      </c>
      <c r="L76" s="4">
        <v>80.900000000000006</v>
      </c>
      <c r="M76" s="4">
        <v>2523.1</v>
      </c>
      <c r="N76" s="4">
        <v>34.1</v>
      </c>
      <c r="O76" s="4">
        <v>5.6</v>
      </c>
      <c r="P76" s="4">
        <v>4254.6000000000004</v>
      </c>
      <c r="Q76" s="5">
        <v>4.07</v>
      </c>
    </row>
    <row r="77" spans="1:17">
      <c r="A77" s="3">
        <v>75</v>
      </c>
      <c r="B77" s="2" t="s">
        <v>102</v>
      </c>
      <c r="C77" s="2" t="s">
        <v>24</v>
      </c>
      <c r="D77" s="2" t="s">
        <v>103</v>
      </c>
      <c r="E77" s="2" t="s">
        <v>21</v>
      </c>
      <c r="F77" s="4">
        <v>9.5</v>
      </c>
      <c r="G77" s="4">
        <v>3379.7</v>
      </c>
      <c r="H77" s="2" t="s">
        <v>39</v>
      </c>
      <c r="I77" s="2" t="s">
        <v>23</v>
      </c>
      <c r="J77" s="3">
        <v>600</v>
      </c>
      <c r="K77" s="5">
        <v>0.96</v>
      </c>
      <c r="L77" s="4">
        <v>60.3</v>
      </c>
      <c r="M77" s="4">
        <v>2523.1</v>
      </c>
      <c r="N77" s="4">
        <v>34.1</v>
      </c>
      <c r="O77" s="4">
        <v>5.6</v>
      </c>
      <c r="P77" s="4">
        <v>3170.1</v>
      </c>
      <c r="Q77" s="5">
        <v>3.04</v>
      </c>
    </row>
    <row r="78" spans="1:17">
      <c r="A78" s="3">
        <v>76</v>
      </c>
      <c r="B78" s="2" t="s">
        <v>95</v>
      </c>
      <c r="C78" s="2" t="s">
        <v>41</v>
      </c>
      <c r="D78" s="2" t="s">
        <v>46</v>
      </c>
      <c r="E78" s="2" t="s">
        <v>47</v>
      </c>
      <c r="F78" s="4">
        <v>13.4</v>
      </c>
      <c r="G78" s="4">
        <v>3101.8</v>
      </c>
      <c r="H78" s="2" t="s">
        <v>39</v>
      </c>
      <c r="I78" s="2" t="s">
        <v>23</v>
      </c>
      <c r="J78" s="3">
        <v>500</v>
      </c>
      <c r="K78" s="5">
        <v>0.96</v>
      </c>
      <c r="L78" s="4">
        <v>72.7</v>
      </c>
      <c r="M78" s="4">
        <v>2543</v>
      </c>
      <c r="N78" s="4">
        <v>33.799999999999997</v>
      </c>
      <c r="O78" s="4">
        <v>5.7</v>
      </c>
      <c r="P78" s="4">
        <v>3186.4</v>
      </c>
      <c r="Q78" s="5">
        <v>3.05</v>
      </c>
    </row>
    <row r="79" spans="1:17">
      <c r="A79" s="3">
        <v>77</v>
      </c>
      <c r="B79" s="2" t="s">
        <v>67</v>
      </c>
      <c r="C79" s="2" t="s">
        <v>45</v>
      </c>
      <c r="D79" s="2" t="s">
        <v>46</v>
      </c>
      <c r="E79" s="2" t="s">
        <v>47</v>
      </c>
      <c r="F79" s="4">
        <v>25.4</v>
      </c>
      <c r="G79" s="4">
        <v>3695.5</v>
      </c>
      <c r="H79" s="2" t="s">
        <v>36</v>
      </c>
      <c r="I79" s="2" t="s">
        <v>23</v>
      </c>
      <c r="J79" s="3">
        <v>500</v>
      </c>
      <c r="K79" s="5">
        <v>0.96</v>
      </c>
      <c r="L79" s="4">
        <v>87.4</v>
      </c>
      <c r="M79" s="4">
        <v>2527</v>
      </c>
      <c r="N79" s="4">
        <v>34</v>
      </c>
      <c r="O79" s="4">
        <v>6.3</v>
      </c>
      <c r="P79" s="4">
        <v>3829.6</v>
      </c>
      <c r="Q79" s="5">
        <v>3.67</v>
      </c>
    </row>
    <row r="80" spans="1:17">
      <c r="A80" s="3">
        <v>78</v>
      </c>
      <c r="B80" s="2" t="s">
        <v>104</v>
      </c>
      <c r="C80" s="2" t="s">
        <v>19</v>
      </c>
      <c r="D80" s="2" t="s">
        <v>105</v>
      </c>
      <c r="E80" s="2" t="s">
        <v>21</v>
      </c>
      <c r="F80" s="4">
        <v>11.5</v>
      </c>
      <c r="G80" s="4">
        <v>3665.6</v>
      </c>
      <c r="H80" s="2" t="s">
        <v>36</v>
      </c>
      <c r="I80" s="2" t="s">
        <v>23</v>
      </c>
      <c r="J80" s="3">
        <v>300</v>
      </c>
      <c r="K80" s="5">
        <v>0.96</v>
      </c>
      <c r="L80" s="4">
        <v>77.7</v>
      </c>
      <c r="M80" s="4">
        <v>2531.6</v>
      </c>
      <c r="N80" s="4">
        <v>34</v>
      </c>
      <c r="O80" s="4">
        <v>7.4</v>
      </c>
      <c r="P80" s="4">
        <v>2042.8</v>
      </c>
      <c r="Q80" s="5">
        <v>1.96</v>
      </c>
    </row>
    <row r="81" spans="1:17">
      <c r="A81" s="3">
        <v>79</v>
      </c>
      <c r="B81" s="2" t="s">
        <v>53</v>
      </c>
      <c r="C81" s="2" t="s">
        <v>33</v>
      </c>
      <c r="D81" s="2" t="s">
        <v>46</v>
      </c>
      <c r="E81" s="2" t="s">
        <v>47</v>
      </c>
      <c r="F81" s="4">
        <v>36.1</v>
      </c>
      <c r="G81" s="4">
        <v>3493</v>
      </c>
      <c r="H81" s="2" t="s">
        <v>39</v>
      </c>
      <c r="I81" s="2" t="s">
        <v>23</v>
      </c>
      <c r="J81" s="3">
        <v>500</v>
      </c>
      <c r="K81" s="5">
        <v>0.96</v>
      </c>
      <c r="L81" s="4">
        <v>73.5</v>
      </c>
      <c r="M81" s="4">
        <v>2541.4</v>
      </c>
      <c r="N81" s="4">
        <v>33.799999999999997</v>
      </c>
      <c r="O81" s="4">
        <v>6.5</v>
      </c>
      <c r="P81" s="4">
        <v>3220.8</v>
      </c>
      <c r="Q81" s="5">
        <v>3.09</v>
      </c>
    </row>
    <row r="82" spans="1:17">
      <c r="A82" s="3">
        <v>80</v>
      </c>
      <c r="B82" s="2" t="s">
        <v>106</v>
      </c>
      <c r="C82" s="2" t="s">
        <v>41</v>
      </c>
      <c r="D82" s="2" t="s">
        <v>107</v>
      </c>
      <c r="E82" s="2" t="s">
        <v>47</v>
      </c>
      <c r="F82" s="4">
        <v>9.4</v>
      </c>
      <c r="G82" s="4">
        <v>3159.6</v>
      </c>
      <c r="H82" s="2" t="s">
        <v>39</v>
      </c>
      <c r="I82" s="2" t="s">
        <v>23</v>
      </c>
      <c r="J82" s="3">
        <v>500</v>
      </c>
      <c r="K82" s="5">
        <v>0.96</v>
      </c>
      <c r="L82" s="4">
        <v>64.8</v>
      </c>
      <c r="M82" s="4">
        <v>2530.3000000000002</v>
      </c>
      <c r="N82" s="4">
        <v>34</v>
      </c>
      <c r="O82" s="4">
        <v>4.9000000000000004</v>
      </c>
      <c r="P82" s="4">
        <v>2840.1</v>
      </c>
      <c r="Q82" s="5">
        <v>2.73</v>
      </c>
    </row>
    <row r="83" spans="1:17">
      <c r="A83" s="3">
        <v>81</v>
      </c>
      <c r="B83" s="2" t="s">
        <v>106</v>
      </c>
      <c r="C83" s="2" t="s">
        <v>19</v>
      </c>
      <c r="D83" s="2" t="s">
        <v>107</v>
      </c>
      <c r="E83" s="2" t="s">
        <v>47</v>
      </c>
      <c r="F83" s="4">
        <v>12.4</v>
      </c>
      <c r="G83" s="4">
        <v>3159.6</v>
      </c>
      <c r="H83" s="2" t="s">
        <v>39</v>
      </c>
      <c r="I83" s="2" t="s">
        <v>23</v>
      </c>
      <c r="J83" s="3">
        <v>500</v>
      </c>
      <c r="K83" s="5">
        <v>0.96</v>
      </c>
      <c r="L83" s="4">
        <v>64.7</v>
      </c>
      <c r="M83" s="4">
        <v>2530.3000000000002</v>
      </c>
      <c r="N83" s="4">
        <v>34</v>
      </c>
      <c r="O83" s="4">
        <v>4.9000000000000004</v>
      </c>
      <c r="P83" s="4">
        <v>2833</v>
      </c>
      <c r="Q83" s="5">
        <v>2.72</v>
      </c>
    </row>
    <row r="84" spans="1:17">
      <c r="A84" s="3">
        <v>82</v>
      </c>
      <c r="B84" s="2" t="s">
        <v>106</v>
      </c>
      <c r="C84" s="2" t="s">
        <v>24</v>
      </c>
      <c r="D84" s="2" t="s">
        <v>107</v>
      </c>
      <c r="E84" s="2" t="s">
        <v>47</v>
      </c>
      <c r="F84" s="4">
        <v>10.9</v>
      </c>
      <c r="G84" s="4">
        <v>3159.6</v>
      </c>
      <c r="H84" s="2" t="s">
        <v>39</v>
      </c>
      <c r="I84" s="2" t="s">
        <v>23</v>
      </c>
      <c r="J84" s="3">
        <v>500</v>
      </c>
      <c r="K84" s="5">
        <v>0.96</v>
      </c>
      <c r="L84" s="4">
        <v>78.3</v>
      </c>
      <c r="M84" s="4">
        <v>2530.3000000000002</v>
      </c>
      <c r="N84" s="4">
        <v>34</v>
      </c>
      <c r="O84" s="4">
        <v>4.9000000000000004</v>
      </c>
      <c r="P84" s="4">
        <v>3428</v>
      </c>
      <c r="Q84" s="5">
        <v>3.3</v>
      </c>
    </row>
    <row r="85" spans="1:17">
      <c r="A85" s="3">
        <v>83</v>
      </c>
      <c r="B85" s="2" t="s">
        <v>108</v>
      </c>
      <c r="C85" s="2" t="s">
        <v>24</v>
      </c>
      <c r="D85" s="2" t="s">
        <v>70</v>
      </c>
      <c r="E85" s="2" t="s">
        <v>21</v>
      </c>
      <c r="F85" s="4">
        <v>8.3000000000000007</v>
      </c>
      <c r="G85" s="4">
        <v>3965</v>
      </c>
      <c r="H85" s="2" t="s">
        <v>36</v>
      </c>
      <c r="I85" s="2" t="s">
        <v>23</v>
      </c>
      <c r="J85" s="3">
        <v>600</v>
      </c>
      <c r="K85" s="5">
        <v>0.96</v>
      </c>
      <c r="L85" s="4">
        <v>10.8</v>
      </c>
      <c r="M85" s="4">
        <v>2691.6</v>
      </c>
      <c r="N85" s="4">
        <v>31.9</v>
      </c>
      <c r="O85" s="4">
        <v>10.1</v>
      </c>
      <c r="P85" s="4">
        <v>567.5</v>
      </c>
      <c r="Q85" s="5">
        <v>0.55000000000000004</v>
      </c>
    </row>
    <row r="86" spans="1:17">
      <c r="A86" s="3">
        <v>84</v>
      </c>
      <c r="B86" s="2" t="s">
        <v>109</v>
      </c>
      <c r="C86" s="2" t="s">
        <v>24</v>
      </c>
      <c r="D86" s="2" t="s">
        <v>110</v>
      </c>
      <c r="E86" s="2" t="s">
        <v>21</v>
      </c>
      <c r="F86" s="4">
        <v>10</v>
      </c>
      <c r="G86" s="4">
        <v>3384</v>
      </c>
      <c r="H86" s="2" t="s">
        <v>39</v>
      </c>
      <c r="I86" s="2" t="s">
        <v>23</v>
      </c>
      <c r="J86" s="3">
        <v>300</v>
      </c>
      <c r="K86" s="5">
        <v>0.96</v>
      </c>
      <c r="L86" s="4">
        <v>81.400000000000006</v>
      </c>
      <c r="M86" s="4">
        <v>2538</v>
      </c>
      <c r="N86" s="4">
        <v>33.9</v>
      </c>
      <c r="O86" s="4">
        <v>7.7</v>
      </c>
      <c r="P86" s="4">
        <v>2140.1999999999998</v>
      </c>
      <c r="Q86" s="5">
        <v>2.06</v>
      </c>
    </row>
    <row r="87" spans="1:17">
      <c r="A87" s="3">
        <v>85</v>
      </c>
      <c r="B87" s="2" t="s">
        <v>95</v>
      </c>
      <c r="C87" s="2" t="s">
        <v>24</v>
      </c>
      <c r="D87" s="2" t="s">
        <v>46</v>
      </c>
      <c r="E87" s="2" t="s">
        <v>47</v>
      </c>
      <c r="F87" s="4">
        <v>22</v>
      </c>
      <c r="G87" s="4">
        <v>3192.1</v>
      </c>
      <c r="H87" s="2" t="s">
        <v>39</v>
      </c>
      <c r="I87" s="2" t="s">
        <v>23</v>
      </c>
      <c r="J87" s="3">
        <v>500</v>
      </c>
      <c r="K87" s="5">
        <v>0.96</v>
      </c>
      <c r="L87" s="4">
        <v>62.2</v>
      </c>
      <c r="M87" s="4">
        <v>2554.6</v>
      </c>
      <c r="N87" s="4">
        <v>33.700000000000003</v>
      </c>
      <c r="O87" s="4">
        <v>5.8</v>
      </c>
      <c r="P87" s="4">
        <v>2723.8</v>
      </c>
      <c r="Q87" s="5">
        <v>2.62</v>
      </c>
    </row>
    <row r="88" spans="1:17">
      <c r="A88" s="3">
        <v>86</v>
      </c>
      <c r="B88" s="2" t="s">
        <v>77</v>
      </c>
      <c r="C88" s="2" t="s">
        <v>41</v>
      </c>
      <c r="D88" s="2" t="s">
        <v>79</v>
      </c>
      <c r="E88" s="2" t="s">
        <v>21</v>
      </c>
      <c r="F88" s="4">
        <v>9.5</v>
      </c>
      <c r="G88" s="4">
        <v>3655.4</v>
      </c>
      <c r="H88" s="2" t="s">
        <v>36</v>
      </c>
      <c r="I88" s="2" t="s">
        <v>23</v>
      </c>
      <c r="J88" s="3">
        <v>270</v>
      </c>
      <c r="K88" s="5">
        <v>0.96</v>
      </c>
      <c r="L88" s="4">
        <v>61.9</v>
      </c>
      <c r="M88" s="4">
        <v>2535.9</v>
      </c>
      <c r="N88" s="4">
        <v>33.9</v>
      </c>
      <c r="O88" s="4">
        <v>7.7</v>
      </c>
      <c r="P88" s="4">
        <v>1465</v>
      </c>
      <c r="Q88" s="5">
        <v>1.41</v>
      </c>
    </row>
    <row r="89" spans="1:17">
      <c r="A89" s="3">
        <v>87</v>
      </c>
      <c r="B89" s="2" t="s">
        <v>90</v>
      </c>
      <c r="C89" s="2" t="s">
        <v>78</v>
      </c>
      <c r="D89" s="2" t="s">
        <v>46</v>
      </c>
      <c r="E89" s="2" t="s">
        <v>47</v>
      </c>
      <c r="F89" s="4">
        <v>17.399999999999999</v>
      </c>
      <c r="G89" s="4">
        <v>3494.8</v>
      </c>
      <c r="H89" s="2" t="s">
        <v>39</v>
      </c>
      <c r="I89" s="2" t="s">
        <v>23</v>
      </c>
      <c r="J89" s="3">
        <v>500</v>
      </c>
      <c r="K89" s="5">
        <v>0.96</v>
      </c>
      <c r="L89" s="4">
        <v>64.3</v>
      </c>
      <c r="M89" s="4">
        <v>2543.1999999999998</v>
      </c>
      <c r="N89" s="4">
        <v>33.799999999999997</v>
      </c>
      <c r="O89" s="4">
        <v>6.6</v>
      </c>
      <c r="P89" s="4">
        <v>2815.1</v>
      </c>
      <c r="Q89" s="5">
        <v>2.71</v>
      </c>
    </row>
    <row r="90" spans="1:17">
      <c r="A90" s="3">
        <v>88</v>
      </c>
      <c r="B90" s="2" t="s">
        <v>96</v>
      </c>
      <c r="C90" s="2" t="s">
        <v>78</v>
      </c>
      <c r="D90" s="2" t="s">
        <v>46</v>
      </c>
      <c r="E90" s="2" t="s">
        <v>47</v>
      </c>
      <c r="F90" s="4">
        <v>20.2</v>
      </c>
      <c r="G90" s="4">
        <v>3377.6</v>
      </c>
      <c r="H90" s="2" t="s">
        <v>39</v>
      </c>
      <c r="I90" s="2" t="s">
        <v>23</v>
      </c>
      <c r="J90" s="3">
        <v>500</v>
      </c>
      <c r="K90" s="5">
        <v>0.96</v>
      </c>
      <c r="L90" s="4">
        <v>80.8</v>
      </c>
      <c r="M90" s="4">
        <v>2540.6999999999998</v>
      </c>
      <c r="N90" s="4">
        <v>33.799999999999997</v>
      </c>
      <c r="O90" s="4">
        <v>5.6</v>
      </c>
      <c r="P90" s="4">
        <v>3538.1</v>
      </c>
      <c r="Q90" s="5">
        <v>3.41</v>
      </c>
    </row>
    <row r="91" spans="1:17">
      <c r="A91" s="3">
        <v>89</v>
      </c>
      <c r="B91" s="2" t="s">
        <v>104</v>
      </c>
      <c r="C91" s="2" t="s">
        <v>24</v>
      </c>
      <c r="D91" s="2" t="s">
        <v>105</v>
      </c>
      <c r="E91" s="2" t="s">
        <v>21</v>
      </c>
      <c r="F91" s="4">
        <v>10.9</v>
      </c>
      <c r="G91" s="4">
        <v>3666.1</v>
      </c>
      <c r="H91" s="2" t="s">
        <v>36</v>
      </c>
      <c r="I91" s="2" t="s">
        <v>23</v>
      </c>
      <c r="J91" s="3">
        <v>300</v>
      </c>
      <c r="K91" s="5">
        <v>0.96</v>
      </c>
      <c r="L91" s="4">
        <v>74.099999999999994</v>
      </c>
      <c r="M91" s="4">
        <v>2540.3000000000002</v>
      </c>
      <c r="N91" s="4">
        <v>33.799999999999997</v>
      </c>
      <c r="O91" s="4">
        <v>7.8</v>
      </c>
      <c r="P91" s="4">
        <v>1946.7</v>
      </c>
      <c r="Q91" s="5">
        <v>1.87</v>
      </c>
    </row>
    <row r="92" spans="1:17">
      <c r="A92" s="3">
        <v>90</v>
      </c>
      <c r="B92" s="2" t="s">
        <v>32</v>
      </c>
      <c r="C92" s="2" t="s">
        <v>24</v>
      </c>
      <c r="D92" s="2" t="s">
        <v>34</v>
      </c>
      <c r="E92" s="2" t="s">
        <v>35</v>
      </c>
      <c r="F92" s="4">
        <v>27.4</v>
      </c>
      <c r="G92" s="4">
        <v>2893</v>
      </c>
      <c r="H92" s="2" t="s">
        <v>43</v>
      </c>
      <c r="I92" s="2" t="s">
        <v>23</v>
      </c>
      <c r="J92" s="3">
        <v>250</v>
      </c>
      <c r="K92" s="5">
        <v>0.96</v>
      </c>
      <c r="L92" s="4">
        <v>70.8</v>
      </c>
      <c r="M92" s="4">
        <v>2535.1999999999998</v>
      </c>
      <c r="N92" s="4">
        <v>33.9</v>
      </c>
      <c r="O92" s="4">
        <v>10</v>
      </c>
      <c r="P92" s="4">
        <v>1549.7</v>
      </c>
      <c r="Q92" s="5">
        <v>1.49</v>
      </c>
    </row>
    <row r="93" spans="1:17">
      <c r="A93" s="3">
        <v>91</v>
      </c>
      <c r="B93" s="2" t="s">
        <v>111</v>
      </c>
      <c r="C93" s="2" t="s">
        <v>33</v>
      </c>
      <c r="D93" s="2" t="s">
        <v>101</v>
      </c>
      <c r="E93" s="2" t="s">
        <v>21</v>
      </c>
      <c r="F93" s="4">
        <v>12.4</v>
      </c>
      <c r="G93" s="4">
        <v>3835</v>
      </c>
      <c r="H93" s="2" t="s">
        <v>36</v>
      </c>
      <c r="I93" s="2" t="s">
        <v>23</v>
      </c>
      <c r="J93" s="3">
        <v>300</v>
      </c>
      <c r="K93" s="5">
        <v>0.96</v>
      </c>
      <c r="L93" s="4">
        <v>62.1</v>
      </c>
      <c r="M93" s="4">
        <v>2542</v>
      </c>
      <c r="N93" s="4">
        <v>33.799999999999997</v>
      </c>
      <c r="O93" s="4">
        <v>7</v>
      </c>
      <c r="P93" s="4">
        <v>1632.7</v>
      </c>
      <c r="Q93" s="5">
        <v>1.57</v>
      </c>
    </row>
    <row r="94" spans="1:17">
      <c r="A94" s="3">
        <v>92</v>
      </c>
      <c r="B94" s="2" t="s">
        <v>112</v>
      </c>
      <c r="C94" s="2" t="s">
        <v>78</v>
      </c>
      <c r="D94" s="2" t="s">
        <v>46</v>
      </c>
      <c r="E94" s="2" t="s">
        <v>47</v>
      </c>
      <c r="F94" s="4">
        <v>12.2</v>
      </c>
      <c r="G94" s="4">
        <v>3937.4</v>
      </c>
      <c r="H94" s="2" t="s">
        <v>36</v>
      </c>
      <c r="I94" s="2" t="s">
        <v>23</v>
      </c>
      <c r="J94" s="3">
        <v>500</v>
      </c>
      <c r="K94" s="5">
        <v>0.96</v>
      </c>
      <c r="L94" s="4">
        <v>89.8</v>
      </c>
      <c r="M94" s="4">
        <v>2543.6</v>
      </c>
      <c r="N94" s="4">
        <v>33.799999999999997</v>
      </c>
      <c r="O94" s="4">
        <v>5.3</v>
      </c>
      <c r="P94" s="4">
        <v>3931.8</v>
      </c>
      <c r="Q94" s="5">
        <v>3.79</v>
      </c>
    </row>
    <row r="95" spans="1:17">
      <c r="A95" s="3">
        <v>93</v>
      </c>
      <c r="B95" s="2" t="s">
        <v>95</v>
      </c>
      <c r="C95" s="2" t="s">
        <v>19</v>
      </c>
      <c r="D95" s="2" t="s">
        <v>46</v>
      </c>
      <c r="E95" s="2" t="s">
        <v>47</v>
      </c>
      <c r="F95" s="4">
        <v>22.5</v>
      </c>
      <c r="G95" s="4">
        <v>3127.4</v>
      </c>
      <c r="H95" s="2" t="s">
        <v>39</v>
      </c>
      <c r="I95" s="2" t="s">
        <v>23</v>
      </c>
      <c r="J95" s="3">
        <v>500</v>
      </c>
      <c r="K95" s="5">
        <v>0.96</v>
      </c>
      <c r="L95" s="4">
        <v>73.900000000000006</v>
      </c>
      <c r="M95" s="4">
        <v>2560</v>
      </c>
      <c r="N95" s="4">
        <v>33.6</v>
      </c>
      <c r="O95" s="4">
        <v>5.8</v>
      </c>
      <c r="P95" s="4">
        <v>3235.1</v>
      </c>
      <c r="Q95" s="5">
        <v>3.12</v>
      </c>
    </row>
    <row r="96" spans="1:17">
      <c r="A96" s="3">
        <v>94</v>
      </c>
      <c r="B96" s="2" t="s">
        <v>96</v>
      </c>
      <c r="C96" s="2" t="s">
        <v>41</v>
      </c>
      <c r="D96" s="2" t="s">
        <v>46</v>
      </c>
      <c r="E96" s="2" t="s">
        <v>47</v>
      </c>
      <c r="F96" s="4">
        <v>21.6</v>
      </c>
      <c r="G96" s="4">
        <v>3369.8</v>
      </c>
      <c r="H96" s="2" t="s">
        <v>39</v>
      </c>
      <c r="I96" s="2" t="s">
        <v>23</v>
      </c>
      <c r="J96" s="3">
        <v>500</v>
      </c>
      <c r="K96" s="5">
        <v>0.97</v>
      </c>
      <c r="L96" s="4">
        <v>86.8</v>
      </c>
      <c r="M96" s="4">
        <v>2548.4</v>
      </c>
      <c r="N96" s="4">
        <v>33.700000000000003</v>
      </c>
      <c r="O96" s="4">
        <v>6.2</v>
      </c>
      <c r="P96" s="4">
        <v>3803.3</v>
      </c>
      <c r="Q96" s="5">
        <v>3.67</v>
      </c>
    </row>
    <row r="97" spans="1:17">
      <c r="A97" s="3">
        <v>95</v>
      </c>
      <c r="B97" s="2" t="s">
        <v>112</v>
      </c>
      <c r="C97" s="2" t="s">
        <v>51</v>
      </c>
      <c r="D97" s="2" t="s">
        <v>46</v>
      </c>
      <c r="E97" s="2" t="s">
        <v>47</v>
      </c>
      <c r="F97" s="4">
        <v>10.8</v>
      </c>
      <c r="G97" s="4">
        <v>3980.6</v>
      </c>
      <c r="H97" s="2" t="s">
        <v>36</v>
      </c>
      <c r="I97" s="2" t="s">
        <v>23</v>
      </c>
      <c r="J97" s="3">
        <v>500</v>
      </c>
      <c r="K97" s="5">
        <v>0.97</v>
      </c>
      <c r="L97" s="4">
        <v>78.3</v>
      </c>
      <c r="M97" s="4">
        <v>2544.5</v>
      </c>
      <c r="N97" s="4">
        <v>33.799999999999997</v>
      </c>
      <c r="O97" s="4">
        <v>5.2</v>
      </c>
      <c r="P97" s="4">
        <v>3429.1</v>
      </c>
      <c r="Q97" s="5">
        <v>3.31</v>
      </c>
    </row>
    <row r="98" spans="1:17">
      <c r="A98" s="3">
        <v>96</v>
      </c>
      <c r="B98" s="2" t="s">
        <v>113</v>
      </c>
      <c r="C98" s="2" t="s">
        <v>24</v>
      </c>
      <c r="D98" s="2" t="s">
        <v>114</v>
      </c>
      <c r="E98" s="2" t="s">
        <v>35</v>
      </c>
      <c r="F98" s="4">
        <v>16.7</v>
      </c>
      <c r="G98" s="4">
        <v>3377.4</v>
      </c>
      <c r="H98" s="2" t="s">
        <v>39</v>
      </c>
      <c r="I98" s="2" t="s">
        <v>23</v>
      </c>
      <c r="J98" s="3">
        <v>300</v>
      </c>
      <c r="K98" s="5">
        <v>0.97</v>
      </c>
      <c r="L98" s="4">
        <v>71.400000000000006</v>
      </c>
      <c r="M98" s="4">
        <v>2543.8000000000002</v>
      </c>
      <c r="N98" s="4">
        <v>33.799999999999997</v>
      </c>
      <c r="O98" s="4">
        <v>8.5</v>
      </c>
      <c r="P98" s="4">
        <v>1875.7</v>
      </c>
      <c r="Q98" s="5">
        <v>1.81</v>
      </c>
    </row>
    <row r="99" spans="1:17">
      <c r="A99" s="3">
        <v>97</v>
      </c>
      <c r="B99" s="2" t="s">
        <v>115</v>
      </c>
      <c r="C99" s="2" t="s">
        <v>24</v>
      </c>
      <c r="D99" s="2" t="s">
        <v>116</v>
      </c>
      <c r="E99" s="2" t="s">
        <v>47</v>
      </c>
      <c r="F99" s="4">
        <v>8.6</v>
      </c>
      <c r="G99" s="4">
        <v>3651.6</v>
      </c>
      <c r="H99" s="2" t="s">
        <v>36</v>
      </c>
      <c r="I99" s="2" t="s">
        <v>23</v>
      </c>
      <c r="J99" s="3">
        <v>600</v>
      </c>
      <c r="K99" s="5">
        <v>0.97</v>
      </c>
      <c r="L99" s="4">
        <v>56.9</v>
      </c>
      <c r="M99" s="4">
        <v>2556.1</v>
      </c>
      <c r="N99" s="4">
        <v>33.6</v>
      </c>
      <c r="O99" s="4">
        <v>6.1</v>
      </c>
      <c r="P99" s="4">
        <v>2988.7</v>
      </c>
      <c r="Q99" s="5">
        <v>2.89</v>
      </c>
    </row>
    <row r="100" spans="1:17">
      <c r="A100" s="3">
        <v>98</v>
      </c>
      <c r="B100" s="2" t="s">
        <v>117</v>
      </c>
      <c r="C100" s="2" t="s">
        <v>19</v>
      </c>
      <c r="D100" s="2" t="s">
        <v>116</v>
      </c>
      <c r="E100" s="2" t="s">
        <v>47</v>
      </c>
      <c r="F100" s="4">
        <v>13</v>
      </c>
      <c r="G100" s="4">
        <v>3753</v>
      </c>
      <c r="H100" s="2" t="s">
        <v>36</v>
      </c>
      <c r="I100" s="2" t="s">
        <v>23</v>
      </c>
      <c r="J100" s="3">
        <v>500</v>
      </c>
      <c r="K100" s="5">
        <v>0.97</v>
      </c>
      <c r="L100" s="4">
        <v>72.2</v>
      </c>
      <c r="M100" s="4">
        <v>2564.9</v>
      </c>
      <c r="N100" s="4">
        <v>33.5</v>
      </c>
      <c r="O100" s="4">
        <v>5.3</v>
      </c>
      <c r="P100" s="4">
        <v>3164.1</v>
      </c>
      <c r="Q100" s="5">
        <v>3.06</v>
      </c>
    </row>
    <row r="101" spans="1:17">
      <c r="A101" s="3">
        <v>99</v>
      </c>
      <c r="B101" s="2" t="s">
        <v>118</v>
      </c>
      <c r="C101" s="2" t="s">
        <v>51</v>
      </c>
      <c r="D101" s="2" t="s">
        <v>119</v>
      </c>
      <c r="E101" s="2" t="s">
        <v>35</v>
      </c>
      <c r="F101" s="4">
        <v>6.4</v>
      </c>
      <c r="G101" s="4">
        <v>3346</v>
      </c>
      <c r="H101" s="2" t="s">
        <v>39</v>
      </c>
      <c r="I101" s="2" t="s">
        <v>23</v>
      </c>
      <c r="J101" s="3">
        <v>600</v>
      </c>
      <c r="K101" s="5">
        <v>0.97</v>
      </c>
      <c r="L101" s="4">
        <v>54.2</v>
      </c>
      <c r="M101" s="4">
        <v>2543</v>
      </c>
      <c r="N101" s="4">
        <v>33.799999999999997</v>
      </c>
      <c r="O101" s="4">
        <v>6.4</v>
      </c>
      <c r="P101" s="4">
        <v>2851.2</v>
      </c>
      <c r="Q101" s="5">
        <v>2.76</v>
      </c>
    </row>
    <row r="102" spans="1:17">
      <c r="A102" s="3">
        <v>100</v>
      </c>
      <c r="B102" s="2" t="s">
        <v>117</v>
      </c>
      <c r="C102" s="2" t="s">
        <v>24</v>
      </c>
      <c r="D102" s="2" t="s">
        <v>116</v>
      </c>
      <c r="E102" s="2" t="s">
        <v>47</v>
      </c>
      <c r="F102" s="4">
        <v>12.4</v>
      </c>
      <c r="G102" s="4">
        <v>3758</v>
      </c>
      <c r="H102" s="2" t="s">
        <v>36</v>
      </c>
      <c r="I102" s="2" t="s">
        <v>23</v>
      </c>
      <c r="J102" s="3">
        <v>500</v>
      </c>
      <c r="K102" s="5">
        <v>0.97</v>
      </c>
      <c r="L102" s="4">
        <v>81.3</v>
      </c>
      <c r="M102" s="4">
        <v>2567.4</v>
      </c>
      <c r="N102" s="4">
        <v>33.5</v>
      </c>
      <c r="O102" s="4">
        <v>5.2</v>
      </c>
      <c r="P102" s="4">
        <v>3559.7</v>
      </c>
      <c r="Q102" s="5">
        <v>3.44</v>
      </c>
    </row>
    <row r="103" spans="1:17">
      <c r="A103" s="3">
        <v>101</v>
      </c>
      <c r="B103" s="2" t="s">
        <v>44</v>
      </c>
      <c r="C103" s="2" t="s">
        <v>24</v>
      </c>
      <c r="D103" s="2" t="s">
        <v>46</v>
      </c>
      <c r="E103" s="2" t="s">
        <v>47</v>
      </c>
      <c r="F103" s="4">
        <v>40.799999999999997</v>
      </c>
      <c r="G103" s="4">
        <v>3404</v>
      </c>
      <c r="H103" s="2" t="s">
        <v>39</v>
      </c>
      <c r="I103" s="2" t="s">
        <v>23</v>
      </c>
      <c r="J103" s="3">
        <v>200</v>
      </c>
      <c r="K103" s="5">
        <v>0.97</v>
      </c>
      <c r="L103" s="4">
        <v>89.5</v>
      </c>
      <c r="M103" s="4">
        <v>2549.9</v>
      </c>
      <c r="N103" s="4">
        <v>33.700000000000003</v>
      </c>
      <c r="O103" s="4">
        <v>8.3000000000000007</v>
      </c>
      <c r="P103" s="4">
        <v>1567.5</v>
      </c>
      <c r="Q103" s="5">
        <v>1.52</v>
      </c>
    </row>
    <row r="104" spans="1:17">
      <c r="A104" s="3">
        <v>102</v>
      </c>
      <c r="B104" s="2" t="s">
        <v>120</v>
      </c>
      <c r="C104" s="2" t="s">
        <v>24</v>
      </c>
      <c r="D104" s="2" t="s">
        <v>114</v>
      </c>
      <c r="E104" s="2" t="s">
        <v>35</v>
      </c>
      <c r="F104" s="4">
        <v>13.8</v>
      </c>
      <c r="G104" s="4">
        <v>3291.1</v>
      </c>
      <c r="H104" s="2" t="s">
        <v>39</v>
      </c>
      <c r="I104" s="2" t="s">
        <v>23</v>
      </c>
      <c r="J104" s="3">
        <v>600</v>
      </c>
      <c r="K104" s="5">
        <v>0.97</v>
      </c>
      <c r="L104" s="4">
        <v>55.1</v>
      </c>
      <c r="M104" s="4">
        <v>2570.8000000000002</v>
      </c>
      <c r="N104" s="4">
        <v>33.4</v>
      </c>
      <c r="O104" s="4">
        <v>5.8</v>
      </c>
      <c r="P104" s="4">
        <v>2897.5</v>
      </c>
      <c r="Q104" s="5">
        <v>2.81</v>
      </c>
    </row>
    <row r="105" spans="1:17">
      <c r="A105" s="3">
        <v>103</v>
      </c>
      <c r="B105" s="2" t="s">
        <v>113</v>
      </c>
      <c r="C105" s="2" t="s">
        <v>19</v>
      </c>
      <c r="D105" s="2" t="s">
        <v>114</v>
      </c>
      <c r="E105" s="2" t="s">
        <v>35</v>
      </c>
      <c r="F105" s="4">
        <v>16.7</v>
      </c>
      <c r="G105" s="4">
        <v>3383.3</v>
      </c>
      <c r="H105" s="2" t="s">
        <v>39</v>
      </c>
      <c r="I105" s="2" t="s">
        <v>23</v>
      </c>
      <c r="J105" s="3">
        <v>300</v>
      </c>
      <c r="K105" s="5">
        <v>0.97</v>
      </c>
      <c r="L105" s="4">
        <v>75.8</v>
      </c>
      <c r="M105" s="4">
        <v>2551.1999999999998</v>
      </c>
      <c r="N105" s="4">
        <v>33.700000000000003</v>
      </c>
      <c r="O105" s="4">
        <v>8.5</v>
      </c>
      <c r="P105" s="4">
        <v>1991.5</v>
      </c>
      <c r="Q105" s="5">
        <v>1.93</v>
      </c>
    </row>
    <row r="106" spans="1:17">
      <c r="A106" s="3">
        <v>104</v>
      </c>
      <c r="B106" s="2" t="s">
        <v>111</v>
      </c>
      <c r="C106" s="2" t="s">
        <v>41</v>
      </c>
      <c r="D106" s="2" t="s">
        <v>101</v>
      </c>
      <c r="E106" s="2" t="s">
        <v>21</v>
      </c>
      <c r="F106" s="4">
        <v>12.6</v>
      </c>
      <c r="G106" s="4">
        <v>3835</v>
      </c>
      <c r="H106" s="2" t="s">
        <v>36</v>
      </c>
      <c r="I106" s="2" t="s">
        <v>23</v>
      </c>
      <c r="J106" s="3">
        <v>300</v>
      </c>
      <c r="K106" s="5">
        <v>0.97</v>
      </c>
      <c r="L106" s="4">
        <v>65.3</v>
      </c>
      <c r="M106" s="4">
        <v>2552.3000000000002</v>
      </c>
      <c r="N106" s="4">
        <v>33.700000000000003</v>
      </c>
      <c r="O106" s="4">
        <v>7</v>
      </c>
      <c r="P106" s="4">
        <v>1716.8</v>
      </c>
      <c r="Q106" s="5">
        <v>1.66</v>
      </c>
    </row>
    <row r="107" spans="1:17">
      <c r="A107" s="3">
        <v>105</v>
      </c>
      <c r="B107" s="2" t="s">
        <v>121</v>
      </c>
      <c r="C107" s="2" t="s">
        <v>19</v>
      </c>
      <c r="D107" s="2" t="s">
        <v>122</v>
      </c>
      <c r="E107" s="2" t="s">
        <v>21</v>
      </c>
      <c r="F107" s="4">
        <v>11.7</v>
      </c>
      <c r="G107" s="4">
        <v>3478</v>
      </c>
      <c r="H107" s="2" t="s">
        <v>39</v>
      </c>
      <c r="I107" s="2" t="s">
        <v>23</v>
      </c>
      <c r="J107" s="3">
        <v>270</v>
      </c>
      <c r="K107" s="5">
        <v>0.97</v>
      </c>
      <c r="L107" s="4">
        <v>72.599999999999994</v>
      </c>
      <c r="M107" s="4">
        <v>2553.6999999999998</v>
      </c>
      <c r="N107" s="4">
        <v>33.700000000000003</v>
      </c>
      <c r="O107" s="4">
        <v>8.5</v>
      </c>
      <c r="P107" s="4">
        <v>1717.5</v>
      </c>
      <c r="Q107" s="5">
        <v>1.66</v>
      </c>
    </row>
    <row r="108" spans="1:17">
      <c r="A108" s="3">
        <v>106</v>
      </c>
      <c r="B108" s="2" t="s">
        <v>112</v>
      </c>
      <c r="C108" s="2" t="s">
        <v>41</v>
      </c>
      <c r="D108" s="2" t="s">
        <v>46</v>
      </c>
      <c r="E108" s="2" t="s">
        <v>47</v>
      </c>
      <c r="F108" s="4">
        <v>19.5</v>
      </c>
      <c r="G108" s="4">
        <v>3940.8</v>
      </c>
      <c r="H108" s="2" t="s">
        <v>36</v>
      </c>
      <c r="I108" s="2" t="s">
        <v>23</v>
      </c>
      <c r="J108" s="3">
        <v>500</v>
      </c>
      <c r="K108" s="5">
        <v>0.97</v>
      </c>
      <c r="L108" s="4">
        <v>89.6</v>
      </c>
      <c r="M108" s="4">
        <v>2553.8000000000002</v>
      </c>
      <c r="N108" s="4">
        <v>33.700000000000003</v>
      </c>
      <c r="O108" s="4">
        <v>5.7</v>
      </c>
      <c r="P108" s="4">
        <v>3925.3</v>
      </c>
      <c r="Q108" s="5">
        <v>3.8</v>
      </c>
    </row>
    <row r="109" spans="1:17">
      <c r="A109" s="3">
        <v>107</v>
      </c>
      <c r="B109" s="2" t="s">
        <v>112</v>
      </c>
      <c r="C109" s="2" t="s">
        <v>33</v>
      </c>
      <c r="D109" s="2" t="s">
        <v>46</v>
      </c>
      <c r="E109" s="2" t="s">
        <v>47</v>
      </c>
      <c r="F109" s="4">
        <v>18.899999999999999</v>
      </c>
      <c r="G109" s="4">
        <v>3938.2</v>
      </c>
      <c r="H109" s="2" t="s">
        <v>36</v>
      </c>
      <c r="I109" s="2" t="s">
        <v>23</v>
      </c>
      <c r="J109" s="3">
        <v>500</v>
      </c>
      <c r="K109" s="5">
        <v>0.97</v>
      </c>
      <c r="L109" s="4">
        <v>89.7</v>
      </c>
      <c r="M109" s="4">
        <v>2554.6</v>
      </c>
      <c r="N109" s="4">
        <v>33.700000000000003</v>
      </c>
      <c r="O109" s="4">
        <v>5.6</v>
      </c>
      <c r="P109" s="4">
        <v>3927.3</v>
      </c>
      <c r="Q109" s="5">
        <v>3.81</v>
      </c>
    </row>
    <row r="110" spans="1:17">
      <c r="A110" s="3">
        <v>108</v>
      </c>
      <c r="B110" s="2" t="s">
        <v>77</v>
      </c>
      <c r="C110" s="2" t="s">
        <v>24</v>
      </c>
      <c r="D110" s="2" t="s">
        <v>79</v>
      </c>
      <c r="E110" s="2" t="s">
        <v>21</v>
      </c>
      <c r="F110" s="4">
        <v>10.5</v>
      </c>
      <c r="G110" s="4">
        <v>3654.2</v>
      </c>
      <c r="H110" s="2" t="s">
        <v>36</v>
      </c>
      <c r="I110" s="2" t="s">
        <v>23</v>
      </c>
      <c r="J110" s="3">
        <v>270</v>
      </c>
      <c r="K110" s="5">
        <v>0.97</v>
      </c>
      <c r="L110" s="4">
        <v>79.599999999999994</v>
      </c>
      <c r="M110" s="4">
        <v>2556.4</v>
      </c>
      <c r="N110" s="4">
        <v>33.6</v>
      </c>
      <c r="O110" s="4">
        <v>7.7</v>
      </c>
      <c r="P110" s="4">
        <v>1882</v>
      </c>
      <c r="Q110" s="5">
        <v>1.83</v>
      </c>
    </row>
    <row r="111" spans="1:17">
      <c r="A111" s="3">
        <v>109</v>
      </c>
      <c r="B111" s="2" t="s">
        <v>53</v>
      </c>
      <c r="C111" s="2" t="s">
        <v>19</v>
      </c>
      <c r="D111" s="2" t="s">
        <v>46</v>
      </c>
      <c r="E111" s="2" t="s">
        <v>47</v>
      </c>
      <c r="F111" s="4">
        <v>40.700000000000003</v>
      </c>
      <c r="G111" s="4">
        <v>3489.1</v>
      </c>
      <c r="H111" s="2" t="s">
        <v>39</v>
      </c>
      <c r="I111" s="2" t="s">
        <v>23</v>
      </c>
      <c r="J111" s="3">
        <v>200</v>
      </c>
      <c r="K111" s="5">
        <v>0.97</v>
      </c>
      <c r="L111" s="4">
        <v>51.8</v>
      </c>
      <c r="M111" s="4">
        <v>2548</v>
      </c>
      <c r="N111" s="4">
        <v>33.700000000000003</v>
      </c>
      <c r="O111" s="4">
        <v>10.5</v>
      </c>
      <c r="P111" s="4">
        <v>906.8</v>
      </c>
      <c r="Q111" s="5">
        <v>0.88</v>
      </c>
    </row>
    <row r="112" spans="1:17">
      <c r="A112" s="3">
        <v>110</v>
      </c>
      <c r="B112" s="2" t="s">
        <v>112</v>
      </c>
      <c r="C112" s="2" t="s">
        <v>24</v>
      </c>
      <c r="D112" s="2" t="s">
        <v>46</v>
      </c>
      <c r="E112" s="2" t="s">
        <v>47</v>
      </c>
      <c r="F112" s="4">
        <v>35.1</v>
      </c>
      <c r="G112" s="4">
        <v>3894.1</v>
      </c>
      <c r="H112" s="2" t="s">
        <v>36</v>
      </c>
      <c r="I112" s="2" t="s">
        <v>23</v>
      </c>
      <c r="J112" s="3">
        <v>500</v>
      </c>
      <c r="K112" s="5">
        <v>0.97</v>
      </c>
      <c r="L112" s="4">
        <v>75.099999999999994</v>
      </c>
      <c r="M112" s="4">
        <v>2553</v>
      </c>
      <c r="N112" s="4">
        <v>33.700000000000003</v>
      </c>
      <c r="O112" s="4">
        <v>8</v>
      </c>
      <c r="P112" s="4">
        <v>3289.1</v>
      </c>
      <c r="Q112" s="5">
        <v>3.19</v>
      </c>
    </row>
    <row r="113" spans="1:17">
      <c r="A113" s="3">
        <v>111</v>
      </c>
      <c r="B113" s="2" t="s">
        <v>37</v>
      </c>
      <c r="C113" s="2" t="s">
        <v>19</v>
      </c>
      <c r="D113" s="2" t="s">
        <v>38</v>
      </c>
      <c r="E113" s="2" t="s">
        <v>21</v>
      </c>
      <c r="F113" s="4">
        <v>9.6</v>
      </c>
      <c r="G113" s="4">
        <v>3205</v>
      </c>
      <c r="H113" s="2" t="s">
        <v>39</v>
      </c>
      <c r="I113" s="2" t="s">
        <v>23</v>
      </c>
      <c r="J113" s="3">
        <v>300</v>
      </c>
      <c r="K113" s="5">
        <v>0.97</v>
      </c>
      <c r="L113" s="4">
        <v>74</v>
      </c>
      <c r="M113" s="4">
        <v>2561.5</v>
      </c>
      <c r="N113" s="4">
        <v>33.6</v>
      </c>
      <c r="O113" s="4">
        <v>10.4</v>
      </c>
      <c r="P113" s="4">
        <v>1945</v>
      </c>
      <c r="Q113" s="5">
        <v>1.89</v>
      </c>
    </row>
    <row r="114" spans="1:17">
      <c r="A114" s="3">
        <v>112</v>
      </c>
      <c r="B114" s="2" t="s">
        <v>77</v>
      </c>
      <c r="C114" s="2" t="s">
        <v>19</v>
      </c>
      <c r="D114" s="2" t="s">
        <v>79</v>
      </c>
      <c r="E114" s="2" t="s">
        <v>21</v>
      </c>
      <c r="F114" s="4">
        <v>11.4</v>
      </c>
      <c r="G114" s="4">
        <v>3652</v>
      </c>
      <c r="H114" s="2" t="s">
        <v>36</v>
      </c>
      <c r="I114" s="2" t="s">
        <v>23</v>
      </c>
      <c r="J114" s="3">
        <v>270</v>
      </c>
      <c r="K114" s="5">
        <v>0.97</v>
      </c>
      <c r="L114" s="4">
        <v>76</v>
      </c>
      <c r="M114" s="4">
        <v>2561.6</v>
      </c>
      <c r="N114" s="4">
        <v>33.6</v>
      </c>
      <c r="O114" s="4">
        <v>7.7</v>
      </c>
      <c r="P114" s="4">
        <v>1796.8</v>
      </c>
      <c r="Q114" s="5">
        <v>1.75</v>
      </c>
    </row>
    <row r="115" spans="1:17">
      <c r="A115" s="3">
        <v>113</v>
      </c>
      <c r="B115" s="2" t="s">
        <v>96</v>
      </c>
      <c r="C115" s="2" t="s">
        <v>24</v>
      </c>
      <c r="D115" s="2" t="s">
        <v>46</v>
      </c>
      <c r="E115" s="2" t="s">
        <v>47</v>
      </c>
      <c r="F115" s="4">
        <v>28.4</v>
      </c>
      <c r="G115" s="4">
        <v>3377.7</v>
      </c>
      <c r="H115" s="2" t="s">
        <v>39</v>
      </c>
      <c r="I115" s="2" t="s">
        <v>23</v>
      </c>
      <c r="J115" s="3">
        <v>500</v>
      </c>
      <c r="K115" s="5">
        <v>0.97</v>
      </c>
      <c r="L115" s="4">
        <v>74.599999999999994</v>
      </c>
      <c r="M115" s="4">
        <v>2563.6999999999998</v>
      </c>
      <c r="N115" s="4">
        <v>33.5</v>
      </c>
      <c r="O115" s="4">
        <v>6.9</v>
      </c>
      <c r="P115" s="4">
        <v>3265.9</v>
      </c>
      <c r="Q115" s="5">
        <v>3.18</v>
      </c>
    </row>
    <row r="116" spans="1:17">
      <c r="A116" s="3">
        <v>114</v>
      </c>
      <c r="B116" s="2" t="s">
        <v>123</v>
      </c>
      <c r="C116" s="2" t="s">
        <v>51</v>
      </c>
      <c r="D116" s="2" t="s">
        <v>46</v>
      </c>
      <c r="E116" s="2" t="s">
        <v>47</v>
      </c>
      <c r="F116" s="4">
        <v>7.4</v>
      </c>
      <c r="G116" s="4">
        <v>3829.9</v>
      </c>
      <c r="H116" s="2" t="s">
        <v>36</v>
      </c>
      <c r="I116" s="2" t="s">
        <v>23</v>
      </c>
      <c r="J116" s="3">
        <v>500</v>
      </c>
      <c r="K116" s="5">
        <v>0.97</v>
      </c>
      <c r="L116" s="4">
        <v>55.6</v>
      </c>
      <c r="M116" s="4">
        <v>2590.3000000000002</v>
      </c>
      <c r="N116" s="4">
        <v>33.200000000000003</v>
      </c>
      <c r="O116" s="4">
        <v>6.8</v>
      </c>
      <c r="P116" s="4">
        <v>2436.4</v>
      </c>
      <c r="Q116" s="5">
        <v>2.37</v>
      </c>
    </row>
    <row r="117" spans="1:17">
      <c r="A117" s="3">
        <v>115</v>
      </c>
      <c r="B117" s="2" t="s">
        <v>44</v>
      </c>
      <c r="C117" s="2" t="s">
        <v>41</v>
      </c>
      <c r="D117" s="2" t="s">
        <v>46</v>
      </c>
      <c r="E117" s="2" t="s">
        <v>47</v>
      </c>
      <c r="F117" s="4">
        <v>40.4</v>
      </c>
      <c r="G117" s="4">
        <v>3405</v>
      </c>
      <c r="H117" s="2" t="s">
        <v>39</v>
      </c>
      <c r="I117" s="2" t="s">
        <v>23</v>
      </c>
      <c r="J117" s="3">
        <v>200</v>
      </c>
      <c r="K117" s="5">
        <v>0.97</v>
      </c>
      <c r="L117" s="4">
        <v>89.4</v>
      </c>
      <c r="M117" s="4">
        <v>2566.3000000000002</v>
      </c>
      <c r="N117" s="4">
        <v>33.5</v>
      </c>
      <c r="O117" s="4">
        <v>8.3000000000000007</v>
      </c>
      <c r="P117" s="4">
        <v>1567</v>
      </c>
      <c r="Q117" s="5">
        <v>1.53</v>
      </c>
    </row>
    <row r="118" spans="1:17">
      <c r="A118" s="3">
        <v>116</v>
      </c>
      <c r="B118" s="2" t="s">
        <v>50</v>
      </c>
      <c r="C118" s="2" t="s">
        <v>78</v>
      </c>
      <c r="D118" s="2" t="s">
        <v>52</v>
      </c>
      <c r="E118" s="2" t="s">
        <v>35</v>
      </c>
      <c r="F118" s="4">
        <v>29.8</v>
      </c>
      <c r="G118" s="4">
        <v>3611</v>
      </c>
      <c r="H118" s="2" t="s">
        <v>36</v>
      </c>
      <c r="I118" s="2" t="s">
        <v>23</v>
      </c>
      <c r="J118" s="3">
        <v>500</v>
      </c>
      <c r="K118" s="5">
        <v>0.97</v>
      </c>
      <c r="L118" s="4">
        <v>82.2</v>
      </c>
      <c r="M118" s="4">
        <v>2565.1999999999998</v>
      </c>
      <c r="N118" s="4">
        <v>33.5</v>
      </c>
      <c r="O118" s="4">
        <v>8</v>
      </c>
      <c r="P118" s="4">
        <v>3601.8</v>
      </c>
      <c r="Q118" s="5">
        <v>3.51</v>
      </c>
    </row>
    <row r="119" spans="1:17">
      <c r="A119" s="3">
        <v>117</v>
      </c>
      <c r="B119" s="2" t="s">
        <v>124</v>
      </c>
      <c r="C119" s="2" t="s">
        <v>78</v>
      </c>
      <c r="D119" s="2" t="s">
        <v>46</v>
      </c>
      <c r="E119" s="2" t="s">
        <v>47</v>
      </c>
      <c r="F119" s="4">
        <v>30.5</v>
      </c>
      <c r="G119" s="4">
        <v>3926.3</v>
      </c>
      <c r="H119" s="2" t="s">
        <v>36</v>
      </c>
      <c r="I119" s="2" t="s">
        <v>23</v>
      </c>
      <c r="J119" s="3">
        <v>500</v>
      </c>
      <c r="K119" s="5">
        <v>0.97</v>
      </c>
      <c r="L119" s="4">
        <v>50.3</v>
      </c>
      <c r="M119" s="4">
        <v>2568.1</v>
      </c>
      <c r="N119" s="4">
        <v>33.5</v>
      </c>
      <c r="O119" s="4">
        <v>7.6</v>
      </c>
      <c r="P119" s="4">
        <v>2203.6999999999998</v>
      </c>
      <c r="Q119" s="5">
        <v>2.15</v>
      </c>
    </row>
    <row r="120" spans="1:17">
      <c r="A120" s="3">
        <v>118</v>
      </c>
      <c r="B120" s="2" t="s">
        <v>112</v>
      </c>
      <c r="C120" s="2" t="s">
        <v>19</v>
      </c>
      <c r="D120" s="2" t="s">
        <v>46</v>
      </c>
      <c r="E120" s="2" t="s">
        <v>47</v>
      </c>
      <c r="F120" s="4">
        <v>36.4</v>
      </c>
      <c r="G120" s="4">
        <v>3932.8</v>
      </c>
      <c r="H120" s="2" t="s">
        <v>36</v>
      </c>
      <c r="I120" s="2" t="s">
        <v>23</v>
      </c>
      <c r="J120" s="3">
        <v>500</v>
      </c>
      <c r="K120" s="5">
        <v>0.97</v>
      </c>
      <c r="L120" s="4">
        <v>77.5</v>
      </c>
      <c r="M120" s="4">
        <v>2564.6999999999998</v>
      </c>
      <c r="N120" s="4">
        <v>33.5</v>
      </c>
      <c r="O120" s="4">
        <v>8.1999999999999993</v>
      </c>
      <c r="P120" s="4">
        <v>3392.8</v>
      </c>
      <c r="Q120" s="5">
        <v>3.31</v>
      </c>
    </row>
    <row r="121" spans="1:17">
      <c r="A121" s="3">
        <v>119</v>
      </c>
      <c r="B121" s="2" t="s">
        <v>53</v>
      </c>
      <c r="C121" s="2" t="s">
        <v>41</v>
      </c>
      <c r="D121" s="2" t="s">
        <v>46</v>
      </c>
      <c r="E121" s="2" t="s">
        <v>47</v>
      </c>
      <c r="F121" s="4">
        <v>39.6</v>
      </c>
      <c r="G121" s="4">
        <v>3502.9</v>
      </c>
      <c r="H121" s="2" t="s">
        <v>36</v>
      </c>
      <c r="I121" s="2" t="s">
        <v>23</v>
      </c>
      <c r="J121" s="3">
        <v>200</v>
      </c>
      <c r="K121" s="5">
        <v>0.97</v>
      </c>
      <c r="L121" s="4">
        <v>72.2</v>
      </c>
      <c r="M121" s="4">
        <v>2564.9</v>
      </c>
      <c r="N121" s="4">
        <v>33.5</v>
      </c>
      <c r="O121" s="4">
        <v>10.8</v>
      </c>
      <c r="P121" s="4">
        <v>1265.4000000000001</v>
      </c>
      <c r="Q121" s="5">
        <v>1.23</v>
      </c>
    </row>
    <row r="122" spans="1:17">
      <c r="A122" s="3">
        <v>120</v>
      </c>
      <c r="B122" s="2" t="s">
        <v>115</v>
      </c>
      <c r="C122" s="2" t="s">
        <v>19</v>
      </c>
      <c r="D122" s="2" t="s">
        <v>116</v>
      </c>
      <c r="E122" s="2" t="s">
        <v>47</v>
      </c>
      <c r="F122" s="4">
        <v>10</v>
      </c>
      <c r="G122" s="4">
        <v>3651.6</v>
      </c>
      <c r="H122" s="2" t="s">
        <v>36</v>
      </c>
      <c r="I122" s="2" t="s">
        <v>23</v>
      </c>
      <c r="J122" s="3">
        <v>600</v>
      </c>
      <c r="K122" s="5">
        <v>0.98</v>
      </c>
      <c r="L122" s="4">
        <v>43.6</v>
      </c>
      <c r="M122" s="4">
        <v>2575.6</v>
      </c>
      <c r="N122" s="4">
        <v>33.4</v>
      </c>
      <c r="O122" s="4">
        <v>6.8</v>
      </c>
      <c r="P122" s="4">
        <v>2293</v>
      </c>
      <c r="Q122" s="5">
        <v>2.2400000000000002</v>
      </c>
    </row>
    <row r="123" spans="1:17">
      <c r="A123" s="3">
        <v>121</v>
      </c>
      <c r="B123" s="2" t="s">
        <v>94</v>
      </c>
      <c r="C123" s="2" t="s">
        <v>78</v>
      </c>
      <c r="D123" s="2" t="s">
        <v>46</v>
      </c>
      <c r="E123" s="2" t="s">
        <v>47</v>
      </c>
      <c r="F123" s="4">
        <v>14.5</v>
      </c>
      <c r="G123" s="4">
        <v>3779.5</v>
      </c>
      <c r="H123" s="2" t="s">
        <v>36</v>
      </c>
      <c r="I123" s="2" t="s">
        <v>23</v>
      </c>
      <c r="J123" s="3">
        <v>490</v>
      </c>
      <c r="K123" s="5">
        <v>0.98</v>
      </c>
      <c r="L123" s="4">
        <v>68.2</v>
      </c>
      <c r="M123" s="4">
        <v>2596.8000000000002</v>
      </c>
      <c r="N123" s="4">
        <v>33.1</v>
      </c>
      <c r="O123" s="4">
        <v>6.3</v>
      </c>
      <c r="P123" s="4">
        <v>2928.3</v>
      </c>
      <c r="Q123" s="5">
        <v>2.86</v>
      </c>
    </row>
    <row r="124" spans="1:17">
      <c r="A124" s="3">
        <v>122</v>
      </c>
      <c r="B124" s="2" t="s">
        <v>96</v>
      </c>
      <c r="C124" s="2" t="s">
        <v>19</v>
      </c>
      <c r="D124" s="2" t="s">
        <v>46</v>
      </c>
      <c r="E124" s="2" t="s">
        <v>47</v>
      </c>
      <c r="F124" s="4">
        <v>29.5</v>
      </c>
      <c r="G124" s="4">
        <v>3365.2</v>
      </c>
      <c r="H124" s="2" t="s">
        <v>39</v>
      </c>
      <c r="I124" s="2" t="s">
        <v>23</v>
      </c>
      <c r="J124" s="3">
        <v>500</v>
      </c>
      <c r="K124" s="5">
        <v>0.98</v>
      </c>
      <c r="L124" s="4">
        <v>85.9</v>
      </c>
      <c r="M124" s="4">
        <v>2574.1</v>
      </c>
      <c r="N124" s="4">
        <v>33.4</v>
      </c>
      <c r="O124" s="4">
        <v>7.4</v>
      </c>
      <c r="P124" s="4">
        <v>3762.8</v>
      </c>
      <c r="Q124" s="5">
        <v>3.67</v>
      </c>
    </row>
    <row r="125" spans="1:17">
      <c r="A125" s="3">
        <v>123</v>
      </c>
      <c r="B125" s="2" t="s">
        <v>124</v>
      </c>
      <c r="C125" s="2" t="s">
        <v>51</v>
      </c>
      <c r="D125" s="2" t="s">
        <v>46</v>
      </c>
      <c r="E125" s="2" t="s">
        <v>47</v>
      </c>
      <c r="F125" s="4">
        <v>13.4</v>
      </c>
      <c r="G125" s="4">
        <v>3917.1</v>
      </c>
      <c r="H125" s="2" t="s">
        <v>36</v>
      </c>
      <c r="I125" s="2" t="s">
        <v>23</v>
      </c>
      <c r="J125" s="3">
        <v>500</v>
      </c>
      <c r="K125" s="5">
        <v>0.98</v>
      </c>
      <c r="L125" s="4">
        <v>58.9</v>
      </c>
      <c r="M125" s="4">
        <v>2579.5</v>
      </c>
      <c r="N125" s="4">
        <v>33.299999999999997</v>
      </c>
      <c r="O125" s="4">
        <v>6.3</v>
      </c>
      <c r="P125" s="4">
        <v>2578.3000000000002</v>
      </c>
      <c r="Q125" s="5">
        <v>2.52</v>
      </c>
    </row>
    <row r="126" spans="1:17">
      <c r="A126" s="3">
        <v>124</v>
      </c>
      <c r="B126" s="2" t="s">
        <v>125</v>
      </c>
      <c r="C126" s="2" t="s">
        <v>78</v>
      </c>
      <c r="D126" s="2" t="s">
        <v>126</v>
      </c>
      <c r="E126" s="2" t="s">
        <v>35</v>
      </c>
      <c r="F126" s="4">
        <v>15.9</v>
      </c>
      <c r="G126" s="4">
        <v>3828</v>
      </c>
      <c r="H126" s="2" t="s">
        <v>36</v>
      </c>
      <c r="I126" s="2" t="s">
        <v>23</v>
      </c>
      <c r="J126" s="3">
        <v>500</v>
      </c>
      <c r="K126" s="5">
        <v>0.98</v>
      </c>
      <c r="L126" s="4">
        <v>84.2</v>
      </c>
      <c r="M126" s="4">
        <v>2572.9</v>
      </c>
      <c r="N126" s="4">
        <v>33.4</v>
      </c>
      <c r="O126" s="4">
        <v>6.1</v>
      </c>
      <c r="P126" s="4">
        <v>3689.9</v>
      </c>
      <c r="Q126" s="5">
        <v>3.6</v>
      </c>
    </row>
    <row r="127" spans="1:17">
      <c r="A127" s="3">
        <v>125</v>
      </c>
      <c r="B127" s="2" t="s">
        <v>127</v>
      </c>
      <c r="C127" s="2" t="s">
        <v>19</v>
      </c>
      <c r="D127" s="2" t="s">
        <v>116</v>
      </c>
      <c r="E127" s="2" t="s">
        <v>47</v>
      </c>
      <c r="F127" s="4">
        <v>13.9</v>
      </c>
      <c r="G127" s="4">
        <v>3603.2</v>
      </c>
      <c r="H127" s="2" t="s">
        <v>36</v>
      </c>
      <c r="I127" s="2" t="s">
        <v>23</v>
      </c>
      <c r="J127" s="3">
        <v>500</v>
      </c>
      <c r="K127" s="5">
        <v>0.98</v>
      </c>
      <c r="L127" s="4">
        <v>80.5</v>
      </c>
      <c r="M127" s="4">
        <v>2592.6</v>
      </c>
      <c r="N127" s="4">
        <v>33.200000000000003</v>
      </c>
      <c r="O127" s="4">
        <v>5.4</v>
      </c>
      <c r="P127" s="4">
        <v>3526.3</v>
      </c>
      <c r="Q127" s="5">
        <v>3.45</v>
      </c>
    </row>
    <row r="128" spans="1:17">
      <c r="A128" s="3">
        <v>126</v>
      </c>
      <c r="B128" s="2" t="s">
        <v>120</v>
      </c>
      <c r="C128" s="2" t="s">
        <v>19</v>
      </c>
      <c r="D128" s="2" t="s">
        <v>114</v>
      </c>
      <c r="E128" s="2" t="s">
        <v>35</v>
      </c>
      <c r="F128" s="4">
        <v>14.4</v>
      </c>
      <c r="G128" s="4">
        <v>3302.3</v>
      </c>
      <c r="H128" s="2" t="s">
        <v>39</v>
      </c>
      <c r="I128" s="2" t="s">
        <v>23</v>
      </c>
      <c r="J128" s="3">
        <v>600</v>
      </c>
      <c r="K128" s="5">
        <v>0.98</v>
      </c>
      <c r="L128" s="4">
        <v>63.7</v>
      </c>
      <c r="M128" s="4">
        <v>2593.1</v>
      </c>
      <c r="N128" s="4">
        <v>33.200000000000003</v>
      </c>
      <c r="O128" s="4">
        <v>6</v>
      </c>
      <c r="P128" s="4">
        <v>3347.7</v>
      </c>
      <c r="Q128" s="5">
        <v>3.27</v>
      </c>
    </row>
    <row r="129" spans="1:17">
      <c r="A129" s="3">
        <v>127</v>
      </c>
      <c r="B129" s="2" t="s">
        <v>128</v>
      </c>
      <c r="C129" s="2" t="s">
        <v>45</v>
      </c>
      <c r="D129" s="2" t="s">
        <v>46</v>
      </c>
      <c r="E129" s="2" t="s">
        <v>47</v>
      </c>
      <c r="F129" s="4">
        <v>36.700000000000003</v>
      </c>
      <c r="G129" s="4">
        <v>3771.2</v>
      </c>
      <c r="H129" s="2" t="s">
        <v>36</v>
      </c>
      <c r="I129" s="2" t="s">
        <v>23</v>
      </c>
      <c r="J129" s="3">
        <v>500</v>
      </c>
      <c r="K129" s="5">
        <v>0.98</v>
      </c>
      <c r="L129" s="4">
        <v>85.4</v>
      </c>
      <c r="M129" s="4">
        <v>2577</v>
      </c>
      <c r="N129" s="4">
        <v>33.4</v>
      </c>
      <c r="O129" s="4">
        <v>6.8</v>
      </c>
      <c r="P129" s="4">
        <v>3742.4</v>
      </c>
      <c r="Q129" s="5">
        <v>3.66</v>
      </c>
    </row>
    <row r="130" spans="1:17">
      <c r="A130" s="3">
        <v>128</v>
      </c>
      <c r="B130" s="2" t="s">
        <v>128</v>
      </c>
      <c r="C130" s="2" t="s">
        <v>51</v>
      </c>
      <c r="D130" s="2" t="s">
        <v>46</v>
      </c>
      <c r="E130" s="2" t="s">
        <v>47</v>
      </c>
      <c r="F130" s="4">
        <v>37.6</v>
      </c>
      <c r="G130" s="4">
        <v>3775.5</v>
      </c>
      <c r="H130" s="2" t="s">
        <v>36</v>
      </c>
      <c r="I130" s="2" t="s">
        <v>23</v>
      </c>
      <c r="J130" s="3">
        <v>500</v>
      </c>
      <c r="K130" s="5">
        <v>0.98</v>
      </c>
      <c r="L130" s="4">
        <v>78.400000000000006</v>
      </c>
      <c r="M130" s="4">
        <v>2577.8000000000002</v>
      </c>
      <c r="N130" s="4">
        <v>33.4</v>
      </c>
      <c r="O130" s="4">
        <v>6.7</v>
      </c>
      <c r="P130" s="4">
        <v>3433.5</v>
      </c>
      <c r="Q130" s="5">
        <v>3.36</v>
      </c>
    </row>
    <row r="131" spans="1:17">
      <c r="A131" s="3">
        <v>129</v>
      </c>
      <c r="B131" s="2" t="s">
        <v>129</v>
      </c>
      <c r="C131" s="2" t="s">
        <v>24</v>
      </c>
      <c r="D131" s="2" t="s">
        <v>130</v>
      </c>
      <c r="E131" s="2" t="s">
        <v>21</v>
      </c>
      <c r="F131" s="4">
        <v>8.4</v>
      </c>
      <c r="G131" s="4">
        <v>3010</v>
      </c>
      <c r="H131" s="2" t="s">
        <v>39</v>
      </c>
      <c r="I131" s="2" t="s">
        <v>23</v>
      </c>
      <c r="J131" s="3">
        <v>520</v>
      </c>
      <c r="K131" s="5">
        <v>0.98</v>
      </c>
      <c r="L131" s="4">
        <v>47.4</v>
      </c>
      <c r="M131" s="4">
        <v>2579.1</v>
      </c>
      <c r="N131" s="4">
        <v>33.299999999999997</v>
      </c>
      <c r="O131" s="4">
        <v>6.2</v>
      </c>
      <c r="P131" s="4">
        <v>2158.5</v>
      </c>
      <c r="Q131" s="5">
        <v>2.11</v>
      </c>
    </row>
    <row r="132" spans="1:17">
      <c r="A132" s="3">
        <v>130</v>
      </c>
      <c r="B132" s="2" t="s">
        <v>129</v>
      </c>
      <c r="C132" s="2" t="s">
        <v>19</v>
      </c>
      <c r="D132" s="2" t="s">
        <v>130</v>
      </c>
      <c r="E132" s="2" t="s">
        <v>21</v>
      </c>
      <c r="F132" s="4">
        <v>8.6</v>
      </c>
      <c r="G132" s="4">
        <v>3115</v>
      </c>
      <c r="H132" s="2" t="s">
        <v>39</v>
      </c>
      <c r="I132" s="2" t="s">
        <v>23</v>
      </c>
      <c r="J132" s="3">
        <v>520</v>
      </c>
      <c r="K132" s="5">
        <v>0.98</v>
      </c>
      <c r="L132" s="4">
        <v>52.1</v>
      </c>
      <c r="M132" s="4">
        <v>2579.4</v>
      </c>
      <c r="N132" s="4">
        <v>33.299999999999997</v>
      </c>
      <c r="O132" s="4">
        <v>6.5</v>
      </c>
      <c r="P132" s="4">
        <v>2373.1999999999998</v>
      </c>
      <c r="Q132" s="5">
        <v>2.3199999999999998</v>
      </c>
    </row>
    <row r="133" spans="1:17">
      <c r="A133" s="3">
        <v>131</v>
      </c>
      <c r="B133" s="2" t="s">
        <v>131</v>
      </c>
      <c r="C133" s="2" t="s">
        <v>24</v>
      </c>
      <c r="D133" s="2" t="s">
        <v>20</v>
      </c>
      <c r="E133" s="2" t="s">
        <v>21</v>
      </c>
      <c r="F133" s="4">
        <v>16.399999999999999</v>
      </c>
      <c r="G133" s="4">
        <v>2891.6</v>
      </c>
      <c r="H133" s="2" t="s">
        <v>43</v>
      </c>
      <c r="I133" s="2" t="s">
        <v>23</v>
      </c>
      <c r="J133" s="3">
        <v>250</v>
      </c>
      <c r="K133" s="5">
        <v>0.98</v>
      </c>
      <c r="L133" s="4">
        <v>58.1</v>
      </c>
      <c r="M133" s="4">
        <v>2585.1999999999998</v>
      </c>
      <c r="N133" s="4">
        <v>33.299999999999997</v>
      </c>
      <c r="O133" s="4">
        <v>10.3</v>
      </c>
      <c r="P133" s="4">
        <v>1272.4000000000001</v>
      </c>
      <c r="Q133" s="5">
        <v>1.25</v>
      </c>
    </row>
    <row r="134" spans="1:17">
      <c r="A134" s="3">
        <v>132</v>
      </c>
      <c r="B134" s="2" t="s">
        <v>132</v>
      </c>
      <c r="C134" s="2" t="s">
        <v>19</v>
      </c>
      <c r="D134" s="2" t="s">
        <v>133</v>
      </c>
      <c r="E134" s="2" t="s">
        <v>21</v>
      </c>
      <c r="F134" s="4">
        <v>11</v>
      </c>
      <c r="G134" s="4">
        <v>3710</v>
      </c>
      <c r="H134" s="2" t="s">
        <v>36</v>
      </c>
      <c r="I134" s="2" t="s">
        <v>23</v>
      </c>
      <c r="J134" s="3">
        <v>600</v>
      </c>
      <c r="K134" s="5">
        <v>0.98</v>
      </c>
      <c r="L134" s="4">
        <v>60.6</v>
      </c>
      <c r="M134" s="4">
        <v>2579.6</v>
      </c>
      <c r="N134" s="4">
        <v>33.299999999999997</v>
      </c>
      <c r="O134" s="4">
        <v>7.3</v>
      </c>
      <c r="P134" s="4">
        <v>3185</v>
      </c>
      <c r="Q134" s="5">
        <v>3.12</v>
      </c>
    </row>
    <row r="135" spans="1:17">
      <c r="A135" s="3">
        <v>133</v>
      </c>
      <c r="B135" s="2" t="s">
        <v>92</v>
      </c>
      <c r="C135" s="2" t="s">
        <v>41</v>
      </c>
      <c r="D135" s="2" t="s">
        <v>93</v>
      </c>
      <c r="E135" s="2" t="s">
        <v>35</v>
      </c>
      <c r="F135" s="4">
        <v>8.6</v>
      </c>
      <c r="G135" s="4">
        <v>3826</v>
      </c>
      <c r="H135" s="2" t="s">
        <v>36</v>
      </c>
      <c r="I135" s="2" t="s">
        <v>23</v>
      </c>
      <c r="J135" s="3">
        <v>500</v>
      </c>
      <c r="K135" s="5">
        <v>0.98</v>
      </c>
      <c r="L135" s="4">
        <v>87</v>
      </c>
      <c r="M135" s="4">
        <v>2580.1999999999998</v>
      </c>
      <c r="N135" s="4">
        <v>33.299999999999997</v>
      </c>
      <c r="O135" s="4">
        <v>5.5</v>
      </c>
      <c r="P135" s="4">
        <v>3812</v>
      </c>
      <c r="Q135" s="5">
        <v>3.73</v>
      </c>
    </row>
    <row r="136" spans="1:17">
      <c r="A136" s="3">
        <v>134</v>
      </c>
      <c r="B136" s="2" t="s">
        <v>92</v>
      </c>
      <c r="C136" s="2" t="s">
        <v>33</v>
      </c>
      <c r="D136" s="2" t="s">
        <v>93</v>
      </c>
      <c r="E136" s="2" t="s">
        <v>35</v>
      </c>
      <c r="F136" s="4">
        <v>7.6</v>
      </c>
      <c r="G136" s="4">
        <v>3826</v>
      </c>
      <c r="H136" s="2" t="s">
        <v>36</v>
      </c>
      <c r="I136" s="2" t="s">
        <v>23</v>
      </c>
      <c r="J136" s="3">
        <v>500</v>
      </c>
      <c r="K136" s="5">
        <v>0.98</v>
      </c>
      <c r="L136" s="4">
        <v>85.1</v>
      </c>
      <c r="M136" s="4">
        <v>2580.6</v>
      </c>
      <c r="N136" s="4">
        <v>33.299999999999997</v>
      </c>
      <c r="O136" s="4">
        <v>5.5</v>
      </c>
      <c r="P136" s="4">
        <v>3727.9</v>
      </c>
      <c r="Q136" s="5">
        <v>3.65</v>
      </c>
    </row>
    <row r="137" spans="1:17">
      <c r="A137" s="3">
        <v>135</v>
      </c>
      <c r="B137" s="2" t="s">
        <v>109</v>
      </c>
      <c r="C137" s="2" t="s">
        <v>19</v>
      </c>
      <c r="D137" s="2" t="s">
        <v>110</v>
      </c>
      <c r="E137" s="2" t="s">
        <v>21</v>
      </c>
      <c r="F137" s="4">
        <v>10.8</v>
      </c>
      <c r="G137" s="4">
        <v>3831</v>
      </c>
      <c r="H137" s="2" t="s">
        <v>36</v>
      </c>
      <c r="I137" s="2" t="s">
        <v>23</v>
      </c>
      <c r="J137" s="3">
        <v>300</v>
      </c>
      <c r="K137" s="5">
        <v>0.98</v>
      </c>
      <c r="L137" s="4">
        <v>67.099999999999994</v>
      </c>
      <c r="M137" s="4">
        <v>2588.3000000000002</v>
      </c>
      <c r="N137" s="4">
        <v>33.200000000000003</v>
      </c>
      <c r="O137" s="4">
        <v>7.7</v>
      </c>
      <c r="P137" s="4">
        <v>1762.8</v>
      </c>
      <c r="Q137" s="5">
        <v>1.73</v>
      </c>
    </row>
    <row r="138" spans="1:17">
      <c r="A138" s="3">
        <v>136</v>
      </c>
      <c r="B138" s="2" t="s">
        <v>128</v>
      </c>
      <c r="C138" s="2" t="s">
        <v>19</v>
      </c>
      <c r="D138" s="2" t="s">
        <v>46</v>
      </c>
      <c r="E138" s="2" t="s">
        <v>47</v>
      </c>
      <c r="F138" s="4">
        <v>42.5</v>
      </c>
      <c r="G138" s="4">
        <v>3768.6</v>
      </c>
      <c r="H138" s="2" t="s">
        <v>36</v>
      </c>
      <c r="I138" s="2" t="s">
        <v>23</v>
      </c>
      <c r="J138" s="3">
        <v>200</v>
      </c>
      <c r="K138" s="5">
        <v>0.98</v>
      </c>
      <c r="L138" s="4">
        <v>74.900000000000006</v>
      </c>
      <c r="M138" s="4">
        <v>2578.6999999999998</v>
      </c>
      <c r="N138" s="4">
        <v>33.299999999999997</v>
      </c>
      <c r="O138" s="4">
        <v>8.8000000000000007</v>
      </c>
      <c r="P138" s="4">
        <v>1311.4</v>
      </c>
      <c r="Q138" s="5">
        <v>1.28</v>
      </c>
    </row>
    <row r="139" spans="1:17">
      <c r="A139" s="3">
        <v>137</v>
      </c>
      <c r="B139" s="2" t="s">
        <v>44</v>
      </c>
      <c r="C139" s="2" t="s">
        <v>19</v>
      </c>
      <c r="D139" s="2" t="s">
        <v>46</v>
      </c>
      <c r="E139" s="2" t="s">
        <v>47</v>
      </c>
      <c r="F139" s="4">
        <v>41.4</v>
      </c>
      <c r="G139" s="4">
        <v>3439</v>
      </c>
      <c r="H139" s="2" t="s">
        <v>39</v>
      </c>
      <c r="I139" s="2" t="s">
        <v>23</v>
      </c>
      <c r="J139" s="3">
        <v>200</v>
      </c>
      <c r="K139" s="5">
        <v>0.98</v>
      </c>
      <c r="L139" s="4">
        <v>80.8</v>
      </c>
      <c r="M139" s="4">
        <v>2581.6</v>
      </c>
      <c r="N139" s="4">
        <v>33.299999999999997</v>
      </c>
      <c r="O139" s="4">
        <v>8.6</v>
      </c>
      <c r="P139" s="4">
        <v>1416.4</v>
      </c>
      <c r="Q139" s="5">
        <v>1.39</v>
      </c>
    </row>
    <row r="140" spans="1:17">
      <c r="A140" s="3">
        <v>138</v>
      </c>
      <c r="B140" s="2" t="s">
        <v>134</v>
      </c>
      <c r="C140" s="2" t="s">
        <v>57</v>
      </c>
      <c r="D140" s="2" t="s">
        <v>135</v>
      </c>
      <c r="E140" s="2" t="s">
        <v>35</v>
      </c>
      <c r="F140" s="4">
        <v>6.6</v>
      </c>
      <c r="G140" s="4">
        <v>3489</v>
      </c>
      <c r="H140" s="2" t="s">
        <v>39</v>
      </c>
      <c r="I140" s="2" t="s">
        <v>23</v>
      </c>
      <c r="J140" s="3">
        <v>250</v>
      </c>
      <c r="K140" s="5">
        <v>0.98</v>
      </c>
      <c r="L140" s="4">
        <v>72.2</v>
      </c>
      <c r="M140" s="4">
        <v>2585.9</v>
      </c>
      <c r="N140" s="4">
        <v>33.299999999999997</v>
      </c>
      <c r="O140" s="4">
        <v>9.1</v>
      </c>
      <c r="P140" s="4">
        <v>1581.1</v>
      </c>
      <c r="Q140" s="5">
        <v>1.56</v>
      </c>
    </row>
    <row r="141" spans="1:17">
      <c r="A141" s="3">
        <v>139</v>
      </c>
      <c r="B141" s="2" t="s">
        <v>136</v>
      </c>
      <c r="C141" s="2" t="s">
        <v>19</v>
      </c>
      <c r="D141" s="2" t="s">
        <v>137</v>
      </c>
      <c r="E141" s="2" t="s">
        <v>47</v>
      </c>
      <c r="F141" s="4">
        <v>16.3</v>
      </c>
      <c r="G141" s="4">
        <v>3281.1</v>
      </c>
      <c r="H141" s="2" t="s">
        <v>39</v>
      </c>
      <c r="I141" s="2" t="s">
        <v>23</v>
      </c>
      <c r="J141" s="3">
        <v>250</v>
      </c>
      <c r="K141" s="5">
        <v>0.98</v>
      </c>
      <c r="L141" s="4">
        <v>82.7</v>
      </c>
      <c r="M141" s="4">
        <v>2583.1999999999998</v>
      </c>
      <c r="N141" s="4">
        <v>33.299999999999997</v>
      </c>
      <c r="O141" s="4">
        <v>8.6</v>
      </c>
      <c r="P141" s="4">
        <v>1810.6</v>
      </c>
      <c r="Q141" s="5">
        <v>1.78</v>
      </c>
    </row>
    <row r="142" spans="1:17">
      <c r="A142" s="3">
        <v>140</v>
      </c>
      <c r="B142" s="2" t="s">
        <v>136</v>
      </c>
      <c r="C142" s="2" t="s">
        <v>24</v>
      </c>
      <c r="D142" s="2" t="s">
        <v>137</v>
      </c>
      <c r="E142" s="2" t="s">
        <v>47</v>
      </c>
      <c r="F142" s="4">
        <v>15.1</v>
      </c>
      <c r="G142" s="4">
        <v>3281.1</v>
      </c>
      <c r="H142" s="2" t="s">
        <v>39</v>
      </c>
      <c r="I142" s="2" t="s">
        <v>23</v>
      </c>
      <c r="J142" s="3">
        <v>250</v>
      </c>
      <c r="K142" s="5">
        <v>0.98</v>
      </c>
      <c r="L142" s="4">
        <v>75.5</v>
      </c>
      <c r="M142" s="4">
        <v>2583.1999999999998</v>
      </c>
      <c r="N142" s="4">
        <v>33.299999999999997</v>
      </c>
      <c r="O142" s="4">
        <v>8.6</v>
      </c>
      <c r="P142" s="4">
        <v>1654.3</v>
      </c>
      <c r="Q142" s="5">
        <v>1.62</v>
      </c>
    </row>
    <row r="143" spans="1:17">
      <c r="A143" s="3">
        <v>141</v>
      </c>
      <c r="B143" s="2" t="s">
        <v>131</v>
      </c>
      <c r="C143" s="2" t="s">
        <v>33</v>
      </c>
      <c r="D143" s="2" t="s">
        <v>20</v>
      </c>
      <c r="E143" s="2" t="s">
        <v>21</v>
      </c>
      <c r="F143" s="4">
        <v>16.100000000000001</v>
      </c>
      <c r="G143" s="4">
        <v>2891.4</v>
      </c>
      <c r="H143" s="2" t="s">
        <v>43</v>
      </c>
      <c r="I143" s="2" t="s">
        <v>23</v>
      </c>
      <c r="J143" s="3">
        <v>250</v>
      </c>
      <c r="K143" s="5">
        <v>0.98</v>
      </c>
      <c r="L143" s="4">
        <v>52.6</v>
      </c>
      <c r="M143" s="4">
        <v>2589.6</v>
      </c>
      <c r="N143" s="4">
        <v>33.200000000000003</v>
      </c>
      <c r="O143" s="4">
        <v>10.3</v>
      </c>
      <c r="P143" s="4">
        <v>1152.0999999999999</v>
      </c>
      <c r="Q143" s="5">
        <v>1.1299999999999999</v>
      </c>
    </row>
    <row r="144" spans="1:17">
      <c r="A144" s="3">
        <v>142</v>
      </c>
      <c r="B144" s="2" t="s">
        <v>127</v>
      </c>
      <c r="C144" s="2" t="s">
        <v>24</v>
      </c>
      <c r="D144" s="2" t="s">
        <v>116</v>
      </c>
      <c r="E144" s="2" t="s">
        <v>47</v>
      </c>
      <c r="F144" s="4">
        <v>13.4</v>
      </c>
      <c r="G144" s="4">
        <v>3603.2</v>
      </c>
      <c r="H144" s="2" t="s">
        <v>36</v>
      </c>
      <c r="I144" s="2" t="s">
        <v>23</v>
      </c>
      <c r="J144" s="3">
        <v>500</v>
      </c>
      <c r="K144" s="5">
        <v>0.98</v>
      </c>
      <c r="L144" s="4">
        <v>76.3</v>
      </c>
      <c r="M144" s="4">
        <v>2598.5</v>
      </c>
      <c r="N144" s="4">
        <v>33.1</v>
      </c>
      <c r="O144" s="4">
        <v>5.6</v>
      </c>
      <c r="P144" s="4">
        <v>3341</v>
      </c>
      <c r="Q144" s="5">
        <v>3.28</v>
      </c>
    </row>
    <row r="145" spans="1:17">
      <c r="A145" s="3">
        <v>143</v>
      </c>
      <c r="B145" s="2" t="s">
        <v>138</v>
      </c>
      <c r="C145" s="2" t="s">
        <v>19</v>
      </c>
      <c r="D145" s="2" t="s">
        <v>116</v>
      </c>
      <c r="E145" s="2" t="s">
        <v>47</v>
      </c>
      <c r="F145" s="4">
        <v>8.4</v>
      </c>
      <c r="G145" s="4">
        <v>4212.3</v>
      </c>
      <c r="H145" s="2" t="s">
        <v>29</v>
      </c>
      <c r="I145" s="2" t="s">
        <v>23</v>
      </c>
      <c r="J145" s="3">
        <v>500</v>
      </c>
      <c r="K145" s="5">
        <v>0.98</v>
      </c>
      <c r="L145" s="4">
        <v>81.7</v>
      </c>
      <c r="M145" s="4">
        <v>2593.9</v>
      </c>
      <c r="N145" s="4">
        <v>33.1</v>
      </c>
      <c r="O145" s="4">
        <v>5.8</v>
      </c>
      <c r="P145" s="4">
        <v>3577.2</v>
      </c>
      <c r="Q145" s="5">
        <v>3.51</v>
      </c>
    </row>
    <row r="146" spans="1:17">
      <c r="A146" s="3">
        <v>144</v>
      </c>
      <c r="B146" s="2" t="s">
        <v>139</v>
      </c>
      <c r="C146" s="2" t="s">
        <v>78</v>
      </c>
      <c r="D146" s="2" t="s">
        <v>93</v>
      </c>
      <c r="E146" s="2" t="s">
        <v>35</v>
      </c>
      <c r="F146" s="4">
        <v>15.2</v>
      </c>
      <c r="G146" s="4">
        <v>4253</v>
      </c>
      <c r="H146" s="2" t="s">
        <v>29</v>
      </c>
      <c r="I146" s="2" t="s">
        <v>23</v>
      </c>
      <c r="J146" s="3">
        <v>210</v>
      </c>
      <c r="K146" s="5">
        <v>0.98</v>
      </c>
      <c r="L146" s="4">
        <v>76.5</v>
      </c>
      <c r="M146" s="4">
        <v>2585.6</v>
      </c>
      <c r="N146" s="4">
        <v>33.299999999999997</v>
      </c>
      <c r="O146" s="4">
        <v>8.5</v>
      </c>
      <c r="P146" s="4">
        <v>1408</v>
      </c>
      <c r="Q146" s="5">
        <v>1.38</v>
      </c>
    </row>
    <row r="147" spans="1:17">
      <c r="A147" s="3">
        <v>145</v>
      </c>
      <c r="B147" s="2" t="s">
        <v>77</v>
      </c>
      <c r="C147" s="2" t="s">
        <v>33</v>
      </c>
      <c r="D147" s="2" t="s">
        <v>79</v>
      </c>
      <c r="E147" s="2" t="s">
        <v>21</v>
      </c>
      <c r="F147" s="4">
        <v>9.4</v>
      </c>
      <c r="G147" s="4">
        <v>3653.8</v>
      </c>
      <c r="H147" s="2" t="s">
        <v>36</v>
      </c>
      <c r="I147" s="2" t="s">
        <v>23</v>
      </c>
      <c r="J147" s="3">
        <v>270</v>
      </c>
      <c r="K147" s="5">
        <v>0.98</v>
      </c>
      <c r="L147" s="4">
        <v>75.2</v>
      </c>
      <c r="M147" s="4">
        <v>2593.5</v>
      </c>
      <c r="N147" s="4">
        <v>33.200000000000003</v>
      </c>
      <c r="O147" s="4">
        <v>7.7</v>
      </c>
      <c r="P147" s="4">
        <v>1779.3</v>
      </c>
      <c r="Q147" s="5">
        <v>1.75</v>
      </c>
    </row>
    <row r="148" spans="1:17">
      <c r="A148" s="3">
        <v>146</v>
      </c>
      <c r="B148" s="2" t="s">
        <v>140</v>
      </c>
      <c r="C148" s="2" t="s">
        <v>41</v>
      </c>
      <c r="D148" s="2" t="s">
        <v>135</v>
      </c>
      <c r="E148" s="2" t="s">
        <v>35</v>
      </c>
      <c r="F148" s="4">
        <v>41.3</v>
      </c>
      <c r="G148" s="4">
        <v>3484.5</v>
      </c>
      <c r="H148" s="2" t="s">
        <v>39</v>
      </c>
      <c r="I148" s="2" t="s">
        <v>23</v>
      </c>
      <c r="J148" s="3">
        <v>105</v>
      </c>
      <c r="K148" s="5">
        <v>0.98</v>
      </c>
      <c r="L148" s="4">
        <v>4.3</v>
      </c>
      <c r="M148" s="4">
        <v>2583.1</v>
      </c>
      <c r="N148" s="4">
        <v>33.299999999999997</v>
      </c>
      <c r="O148" s="4">
        <v>9.6</v>
      </c>
      <c r="P148" s="4">
        <v>39.700000000000003</v>
      </c>
      <c r="Q148" s="5">
        <v>0.04</v>
      </c>
    </row>
    <row r="149" spans="1:17">
      <c r="A149" s="3">
        <v>147</v>
      </c>
      <c r="B149" s="2" t="s">
        <v>131</v>
      </c>
      <c r="C149" s="2" t="s">
        <v>19</v>
      </c>
      <c r="D149" s="2" t="s">
        <v>20</v>
      </c>
      <c r="E149" s="2" t="s">
        <v>21</v>
      </c>
      <c r="F149" s="4">
        <v>16.7</v>
      </c>
      <c r="G149" s="4">
        <v>2888.2</v>
      </c>
      <c r="H149" s="2" t="s">
        <v>43</v>
      </c>
      <c r="I149" s="2" t="s">
        <v>23</v>
      </c>
      <c r="J149" s="3">
        <v>250</v>
      </c>
      <c r="K149" s="5">
        <v>0.98</v>
      </c>
      <c r="L149" s="4">
        <v>65.400000000000006</v>
      </c>
      <c r="M149" s="4">
        <v>2600.3000000000002</v>
      </c>
      <c r="N149" s="4">
        <v>33.1</v>
      </c>
      <c r="O149" s="4">
        <v>10.3</v>
      </c>
      <c r="P149" s="4">
        <v>1433.3</v>
      </c>
      <c r="Q149" s="5">
        <v>1.41</v>
      </c>
    </row>
    <row r="150" spans="1:17">
      <c r="A150" s="3">
        <v>148</v>
      </c>
      <c r="B150" s="2" t="s">
        <v>141</v>
      </c>
      <c r="C150" s="2" t="s">
        <v>45</v>
      </c>
      <c r="D150" s="2" t="s">
        <v>142</v>
      </c>
      <c r="E150" s="2" t="s">
        <v>35</v>
      </c>
      <c r="F150" s="4">
        <v>15.2</v>
      </c>
      <c r="G150" s="4">
        <v>3424.1</v>
      </c>
      <c r="H150" s="2" t="s">
        <v>39</v>
      </c>
      <c r="I150" s="2" t="s">
        <v>23</v>
      </c>
      <c r="J150" s="3">
        <v>195</v>
      </c>
      <c r="K150" s="5">
        <v>0.98</v>
      </c>
      <c r="L150" s="4">
        <v>75.099999999999994</v>
      </c>
      <c r="M150" s="4">
        <v>2591.4</v>
      </c>
      <c r="N150" s="4">
        <v>33.200000000000003</v>
      </c>
      <c r="O150" s="4">
        <v>11.2</v>
      </c>
      <c r="P150" s="4">
        <v>1282.9000000000001</v>
      </c>
      <c r="Q150" s="5">
        <v>1.26</v>
      </c>
    </row>
    <row r="151" spans="1:17">
      <c r="A151" s="3">
        <v>149</v>
      </c>
      <c r="B151" s="2" t="s">
        <v>141</v>
      </c>
      <c r="C151" s="2" t="s">
        <v>51</v>
      </c>
      <c r="D151" s="2" t="s">
        <v>142</v>
      </c>
      <c r="E151" s="2" t="s">
        <v>35</v>
      </c>
      <c r="F151" s="4">
        <v>21</v>
      </c>
      <c r="G151" s="4">
        <v>3409.2</v>
      </c>
      <c r="H151" s="2" t="s">
        <v>39</v>
      </c>
      <c r="I151" s="2" t="s">
        <v>23</v>
      </c>
      <c r="J151" s="3">
        <v>195</v>
      </c>
      <c r="K151" s="5">
        <v>0.98</v>
      </c>
      <c r="L151" s="4">
        <v>81.900000000000006</v>
      </c>
      <c r="M151" s="4">
        <v>2592.4</v>
      </c>
      <c r="N151" s="4">
        <v>33.200000000000003</v>
      </c>
      <c r="O151" s="4">
        <v>10.8</v>
      </c>
      <c r="P151" s="4">
        <v>1398.3</v>
      </c>
      <c r="Q151" s="5">
        <v>1.38</v>
      </c>
    </row>
    <row r="152" spans="1:17">
      <c r="A152" s="3">
        <v>150</v>
      </c>
      <c r="B152" s="2" t="s">
        <v>143</v>
      </c>
      <c r="C152" s="2" t="s">
        <v>19</v>
      </c>
      <c r="D152" s="2" t="s">
        <v>144</v>
      </c>
      <c r="E152" s="2" t="s">
        <v>35</v>
      </c>
      <c r="F152" s="4">
        <v>11.8</v>
      </c>
      <c r="G152" s="4">
        <v>3072.5</v>
      </c>
      <c r="H152" s="2" t="s">
        <v>39</v>
      </c>
      <c r="I152" s="2" t="s">
        <v>23</v>
      </c>
      <c r="J152" s="3">
        <v>600</v>
      </c>
      <c r="K152" s="5">
        <v>0.98</v>
      </c>
      <c r="L152" s="4">
        <v>52.7</v>
      </c>
      <c r="M152" s="4">
        <v>2617.6</v>
      </c>
      <c r="N152" s="4">
        <v>32.799999999999997</v>
      </c>
      <c r="O152" s="4">
        <v>7.7</v>
      </c>
      <c r="P152" s="4">
        <v>2770.3</v>
      </c>
      <c r="Q152" s="5">
        <v>2.73</v>
      </c>
    </row>
    <row r="153" spans="1:17">
      <c r="A153" s="3">
        <v>151</v>
      </c>
      <c r="B153" s="2" t="s">
        <v>145</v>
      </c>
      <c r="C153" s="2" t="s">
        <v>19</v>
      </c>
      <c r="D153" s="2" t="s">
        <v>146</v>
      </c>
      <c r="E153" s="2" t="s">
        <v>47</v>
      </c>
      <c r="F153" s="4">
        <v>13.8</v>
      </c>
      <c r="G153" s="4">
        <v>3772.7</v>
      </c>
      <c r="H153" s="2" t="s">
        <v>36</v>
      </c>
      <c r="I153" s="2" t="s">
        <v>23</v>
      </c>
      <c r="J153" s="3">
        <v>500</v>
      </c>
      <c r="K153" s="5">
        <v>0.98</v>
      </c>
      <c r="L153" s="4">
        <v>57.2</v>
      </c>
      <c r="M153" s="4">
        <v>2592</v>
      </c>
      <c r="N153" s="4">
        <v>33.200000000000003</v>
      </c>
      <c r="O153" s="4">
        <v>6.1</v>
      </c>
      <c r="P153" s="4">
        <v>2507.5</v>
      </c>
      <c r="Q153" s="5">
        <v>2.4700000000000002</v>
      </c>
    </row>
    <row r="154" spans="1:17">
      <c r="A154" s="3">
        <v>152</v>
      </c>
      <c r="B154" s="2" t="s">
        <v>145</v>
      </c>
      <c r="C154" s="2" t="s">
        <v>24</v>
      </c>
      <c r="D154" s="2" t="s">
        <v>146</v>
      </c>
      <c r="E154" s="2" t="s">
        <v>47</v>
      </c>
      <c r="F154" s="4">
        <v>12.8</v>
      </c>
      <c r="G154" s="4">
        <v>3772.7</v>
      </c>
      <c r="H154" s="2" t="s">
        <v>36</v>
      </c>
      <c r="I154" s="2" t="s">
        <v>23</v>
      </c>
      <c r="J154" s="3">
        <v>500</v>
      </c>
      <c r="K154" s="5">
        <v>0.98</v>
      </c>
      <c r="L154" s="4">
        <v>53</v>
      </c>
      <c r="M154" s="4">
        <v>2592</v>
      </c>
      <c r="N154" s="4">
        <v>33.200000000000003</v>
      </c>
      <c r="O154" s="4">
        <v>6.1</v>
      </c>
      <c r="P154" s="4">
        <v>2321</v>
      </c>
      <c r="Q154" s="5">
        <v>2.29</v>
      </c>
    </row>
    <row r="155" spans="1:17">
      <c r="A155" s="3">
        <v>153</v>
      </c>
      <c r="B155" s="2" t="s">
        <v>145</v>
      </c>
      <c r="C155" s="2" t="s">
        <v>41</v>
      </c>
      <c r="D155" s="2" t="s">
        <v>146</v>
      </c>
      <c r="E155" s="2" t="s">
        <v>47</v>
      </c>
      <c r="F155" s="4">
        <v>12.1</v>
      </c>
      <c r="G155" s="4">
        <v>3772.7</v>
      </c>
      <c r="H155" s="2" t="s">
        <v>36</v>
      </c>
      <c r="I155" s="2" t="s">
        <v>23</v>
      </c>
      <c r="J155" s="3">
        <v>500</v>
      </c>
      <c r="K155" s="5">
        <v>0.98</v>
      </c>
      <c r="L155" s="4">
        <v>67</v>
      </c>
      <c r="M155" s="4">
        <v>2592</v>
      </c>
      <c r="N155" s="4">
        <v>33.200000000000003</v>
      </c>
      <c r="O155" s="4">
        <v>6.1</v>
      </c>
      <c r="P155" s="4">
        <v>2934.1</v>
      </c>
      <c r="Q155" s="5">
        <v>2.89</v>
      </c>
    </row>
    <row r="156" spans="1:17">
      <c r="A156" s="3">
        <v>154</v>
      </c>
      <c r="B156" s="2" t="s">
        <v>147</v>
      </c>
      <c r="C156" s="2" t="s">
        <v>68</v>
      </c>
      <c r="D156" s="2" t="s">
        <v>126</v>
      </c>
      <c r="E156" s="2" t="s">
        <v>35</v>
      </c>
      <c r="F156" s="4">
        <v>10.6</v>
      </c>
      <c r="G156" s="4">
        <v>3924</v>
      </c>
      <c r="H156" s="2" t="s">
        <v>36</v>
      </c>
      <c r="I156" s="2" t="s">
        <v>23</v>
      </c>
      <c r="J156" s="3">
        <v>250</v>
      </c>
      <c r="K156" s="5">
        <v>0.99</v>
      </c>
      <c r="L156" s="4">
        <v>88.3</v>
      </c>
      <c r="M156" s="4">
        <v>2601.6999999999998</v>
      </c>
      <c r="N156" s="4">
        <v>33</v>
      </c>
      <c r="O156" s="4">
        <v>8</v>
      </c>
      <c r="P156" s="4">
        <v>1933.8</v>
      </c>
      <c r="Q156" s="5">
        <v>1.91</v>
      </c>
    </row>
    <row r="157" spans="1:17">
      <c r="A157" s="3">
        <v>155</v>
      </c>
      <c r="B157" s="2" t="s">
        <v>148</v>
      </c>
      <c r="C157" s="2" t="s">
        <v>45</v>
      </c>
      <c r="D157" s="2" t="s">
        <v>149</v>
      </c>
      <c r="E157" s="2" t="s">
        <v>35</v>
      </c>
      <c r="F157" s="4">
        <v>17.399999999999999</v>
      </c>
      <c r="G157" s="4">
        <v>3379</v>
      </c>
      <c r="H157" s="2" t="s">
        <v>39</v>
      </c>
      <c r="I157" s="2" t="s">
        <v>23</v>
      </c>
      <c r="J157" s="3">
        <v>250</v>
      </c>
      <c r="K157" s="5">
        <v>0.99</v>
      </c>
      <c r="L157" s="4">
        <v>72.2</v>
      </c>
      <c r="M157" s="4">
        <v>2599.9</v>
      </c>
      <c r="N157" s="4">
        <v>33.1</v>
      </c>
      <c r="O157" s="4">
        <v>8.1999999999999993</v>
      </c>
      <c r="P157" s="4">
        <v>1580.3</v>
      </c>
      <c r="Q157" s="5">
        <v>1.56</v>
      </c>
    </row>
    <row r="158" spans="1:17">
      <c r="A158" s="3">
        <v>156</v>
      </c>
      <c r="B158" s="2" t="s">
        <v>147</v>
      </c>
      <c r="C158" s="2" t="s">
        <v>91</v>
      </c>
      <c r="D158" s="2" t="s">
        <v>126</v>
      </c>
      <c r="E158" s="2" t="s">
        <v>35</v>
      </c>
      <c r="F158" s="4">
        <v>11.4</v>
      </c>
      <c r="G158" s="4">
        <v>3924</v>
      </c>
      <c r="H158" s="2" t="s">
        <v>36</v>
      </c>
      <c r="I158" s="2" t="s">
        <v>23</v>
      </c>
      <c r="J158" s="3">
        <v>250</v>
      </c>
      <c r="K158" s="5">
        <v>0.99</v>
      </c>
      <c r="L158" s="4">
        <v>78.2</v>
      </c>
      <c r="M158" s="4">
        <v>2602.6999999999998</v>
      </c>
      <c r="N158" s="4">
        <v>33</v>
      </c>
      <c r="O158" s="4">
        <v>8.1999999999999993</v>
      </c>
      <c r="P158" s="4">
        <v>1713.4</v>
      </c>
      <c r="Q158" s="5">
        <v>1.69</v>
      </c>
    </row>
    <row r="159" spans="1:17">
      <c r="A159" s="3">
        <v>157</v>
      </c>
      <c r="B159" s="2" t="s">
        <v>134</v>
      </c>
      <c r="C159" s="2" t="s">
        <v>63</v>
      </c>
      <c r="D159" s="2" t="s">
        <v>135</v>
      </c>
      <c r="E159" s="2" t="s">
        <v>35</v>
      </c>
      <c r="F159" s="4">
        <v>6.4</v>
      </c>
      <c r="G159" s="4">
        <v>3490.5</v>
      </c>
      <c r="H159" s="2" t="s">
        <v>39</v>
      </c>
      <c r="I159" s="2" t="s">
        <v>23</v>
      </c>
      <c r="J159" s="3">
        <v>250</v>
      </c>
      <c r="K159" s="5">
        <v>0.99</v>
      </c>
      <c r="L159" s="4">
        <v>75.599999999999994</v>
      </c>
      <c r="M159" s="4">
        <v>2601.1999999999998</v>
      </c>
      <c r="N159" s="4">
        <v>33.1</v>
      </c>
      <c r="O159" s="4">
        <v>9.4</v>
      </c>
      <c r="P159" s="4">
        <v>1655.8</v>
      </c>
      <c r="Q159" s="5">
        <v>1.64</v>
      </c>
    </row>
    <row r="160" spans="1:17">
      <c r="A160" s="3">
        <v>158</v>
      </c>
      <c r="B160" s="2" t="s">
        <v>132</v>
      </c>
      <c r="C160" s="2" t="s">
        <v>24</v>
      </c>
      <c r="D160" s="2" t="s">
        <v>133</v>
      </c>
      <c r="E160" s="2" t="s">
        <v>21</v>
      </c>
      <c r="F160" s="4">
        <v>10</v>
      </c>
      <c r="G160" s="4">
        <v>3708</v>
      </c>
      <c r="H160" s="2" t="s">
        <v>36</v>
      </c>
      <c r="I160" s="2" t="s">
        <v>23</v>
      </c>
      <c r="J160" s="3">
        <v>600</v>
      </c>
      <c r="K160" s="5">
        <v>0.99</v>
      </c>
      <c r="L160" s="4">
        <v>59.6</v>
      </c>
      <c r="M160" s="4">
        <v>2603.1</v>
      </c>
      <c r="N160" s="4">
        <v>33</v>
      </c>
      <c r="O160" s="4">
        <v>7.2</v>
      </c>
      <c r="P160" s="4">
        <v>3134</v>
      </c>
      <c r="Q160" s="5">
        <v>3.1</v>
      </c>
    </row>
    <row r="161" spans="1:17">
      <c r="A161" s="3">
        <v>159</v>
      </c>
      <c r="B161" s="2" t="s">
        <v>32</v>
      </c>
      <c r="C161" s="2" t="s">
        <v>41</v>
      </c>
      <c r="D161" s="2" t="s">
        <v>34</v>
      </c>
      <c r="E161" s="2" t="s">
        <v>35</v>
      </c>
      <c r="F161" s="4">
        <v>26.4</v>
      </c>
      <c r="G161" s="4">
        <v>2884</v>
      </c>
      <c r="H161" s="2" t="s">
        <v>43</v>
      </c>
      <c r="I161" s="2" t="s">
        <v>23</v>
      </c>
      <c r="J161" s="3">
        <v>250</v>
      </c>
      <c r="K161" s="5">
        <v>0.99</v>
      </c>
      <c r="L161" s="4">
        <v>74.599999999999994</v>
      </c>
      <c r="M161" s="4">
        <v>2600</v>
      </c>
      <c r="N161" s="4">
        <v>33.1</v>
      </c>
      <c r="O161" s="4">
        <v>10.7</v>
      </c>
      <c r="P161" s="4">
        <v>1633.9</v>
      </c>
      <c r="Q161" s="5">
        <v>1.61</v>
      </c>
    </row>
    <row r="162" spans="1:17">
      <c r="A162" s="3">
        <v>160</v>
      </c>
      <c r="B162" s="2" t="s">
        <v>50</v>
      </c>
      <c r="C162" s="2" t="s">
        <v>33</v>
      </c>
      <c r="D162" s="2" t="s">
        <v>52</v>
      </c>
      <c r="E162" s="2" t="s">
        <v>35</v>
      </c>
      <c r="F162" s="4">
        <v>30.6</v>
      </c>
      <c r="G162" s="4">
        <v>3611</v>
      </c>
      <c r="H162" s="2" t="s">
        <v>36</v>
      </c>
      <c r="I162" s="2" t="s">
        <v>23</v>
      </c>
      <c r="J162" s="3">
        <v>500</v>
      </c>
      <c r="K162" s="5">
        <v>0.99</v>
      </c>
      <c r="L162" s="4">
        <v>45.3</v>
      </c>
      <c r="M162" s="4">
        <v>2605.1</v>
      </c>
      <c r="N162" s="4">
        <v>33</v>
      </c>
      <c r="O162" s="4">
        <v>8.5</v>
      </c>
      <c r="P162" s="4">
        <v>1984.3</v>
      </c>
      <c r="Q162" s="5">
        <v>1.96</v>
      </c>
    </row>
    <row r="163" spans="1:17">
      <c r="A163" s="3">
        <v>161</v>
      </c>
      <c r="B163" s="2" t="s">
        <v>132</v>
      </c>
      <c r="C163" s="2" t="s">
        <v>41</v>
      </c>
      <c r="D163" s="2" t="s">
        <v>133</v>
      </c>
      <c r="E163" s="2" t="s">
        <v>21</v>
      </c>
      <c r="F163" s="4">
        <v>6.5</v>
      </c>
      <c r="G163" s="4">
        <v>3695</v>
      </c>
      <c r="H163" s="2" t="s">
        <v>36</v>
      </c>
      <c r="I163" s="2" t="s">
        <v>23</v>
      </c>
      <c r="J163" s="3">
        <v>600</v>
      </c>
      <c r="K163" s="5">
        <v>0.99</v>
      </c>
      <c r="L163" s="4">
        <v>65</v>
      </c>
      <c r="M163" s="4">
        <v>2605.6999999999998</v>
      </c>
      <c r="N163" s="4">
        <v>33</v>
      </c>
      <c r="O163" s="4">
        <v>10.5</v>
      </c>
      <c r="P163" s="4">
        <v>3417</v>
      </c>
      <c r="Q163" s="5">
        <v>3.38</v>
      </c>
    </row>
    <row r="164" spans="1:17">
      <c r="A164" s="3">
        <v>162</v>
      </c>
      <c r="B164" s="2" t="s">
        <v>150</v>
      </c>
      <c r="C164" s="2" t="s">
        <v>19</v>
      </c>
      <c r="D164" s="2" t="s">
        <v>119</v>
      </c>
      <c r="E164" s="2" t="s">
        <v>35</v>
      </c>
      <c r="F164" s="4">
        <v>14.8</v>
      </c>
      <c r="G164" s="4">
        <v>3419</v>
      </c>
      <c r="H164" s="2" t="s">
        <v>39</v>
      </c>
      <c r="I164" s="2" t="s">
        <v>23</v>
      </c>
      <c r="J164" s="3">
        <v>500</v>
      </c>
      <c r="K164" s="5">
        <v>0.99</v>
      </c>
      <c r="L164" s="4">
        <v>73.599999999999994</v>
      </c>
      <c r="M164" s="4">
        <v>2604.8000000000002</v>
      </c>
      <c r="N164" s="4">
        <v>33</v>
      </c>
      <c r="O164" s="4">
        <v>5.3</v>
      </c>
      <c r="P164" s="4">
        <v>3225</v>
      </c>
      <c r="Q164" s="5">
        <v>3.19</v>
      </c>
    </row>
    <row r="165" spans="1:17">
      <c r="A165" s="3">
        <v>163</v>
      </c>
      <c r="B165" s="2" t="s">
        <v>151</v>
      </c>
      <c r="C165" s="2" t="s">
        <v>19</v>
      </c>
      <c r="D165" s="2" t="s">
        <v>152</v>
      </c>
      <c r="E165" s="2" t="s">
        <v>21</v>
      </c>
      <c r="F165" s="4">
        <v>8.4</v>
      </c>
      <c r="G165" s="4">
        <v>3346</v>
      </c>
      <c r="H165" s="2" t="s">
        <v>39</v>
      </c>
      <c r="I165" s="2" t="s">
        <v>23</v>
      </c>
      <c r="J165" s="3">
        <v>600</v>
      </c>
      <c r="K165" s="5">
        <v>0.99</v>
      </c>
      <c r="L165" s="4">
        <v>66.599999999999994</v>
      </c>
      <c r="M165" s="4">
        <v>2609.6</v>
      </c>
      <c r="N165" s="4">
        <v>32.9</v>
      </c>
      <c r="O165" s="4">
        <v>6.1</v>
      </c>
      <c r="P165" s="4">
        <v>3501.8</v>
      </c>
      <c r="Q165" s="5">
        <v>3.47</v>
      </c>
    </row>
    <row r="166" spans="1:17">
      <c r="A166" s="3">
        <v>164</v>
      </c>
      <c r="B166" s="2" t="s">
        <v>139</v>
      </c>
      <c r="C166" s="2" t="s">
        <v>33</v>
      </c>
      <c r="D166" s="2" t="s">
        <v>93</v>
      </c>
      <c r="E166" s="2" t="s">
        <v>35</v>
      </c>
      <c r="F166" s="4">
        <v>16.600000000000001</v>
      </c>
      <c r="G166" s="4">
        <v>4253</v>
      </c>
      <c r="H166" s="2" t="s">
        <v>29</v>
      </c>
      <c r="I166" s="2" t="s">
        <v>23</v>
      </c>
      <c r="J166" s="3">
        <v>210</v>
      </c>
      <c r="K166" s="5">
        <v>0.99</v>
      </c>
      <c r="L166" s="4">
        <v>88.3</v>
      </c>
      <c r="M166" s="4">
        <v>2612</v>
      </c>
      <c r="N166" s="4">
        <v>32.9</v>
      </c>
      <c r="O166" s="4">
        <v>8.5</v>
      </c>
      <c r="P166" s="4">
        <v>1625</v>
      </c>
      <c r="Q166" s="5">
        <v>1.61</v>
      </c>
    </row>
    <row r="167" spans="1:17">
      <c r="A167" s="3">
        <v>165</v>
      </c>
      <c r="B167" s="2" t="s">
        <v>153</v>
      </c>
      <c r="C167" s="2" t="s">
        <v>78</v>
      </c>
      <c r="D167" s="2" t="s">
        <v>154</v>
      </c>
      <c r="E167" s="2" t="s">
        <v>21</v>
      </c>
      <c r="F167" s="4">
        <v>35.9</v>
      </c>
      <c r="G167" s="4">
        <v>4661.5</v>
      </c>
      <c r="H167" s="2" t="s">
        <v>99</v>
      </c>
      <c r="I167" s="2" t="s">
        <v>23</v>
      </c>
      <c r="J167" s="3">
        <v>121</v>
      </c>
      <c r="K167" s="5">
        <v>0.99</v>
      </c>
      <c r="L167" s="4">
        <v>81.7</v>
      </c>
      <c r="M167" s="4">
        <v>2626.8</v>
      </c>
      <c r="N167" s="4">
        <v>32.700000000000003</v>
      </c>
      <c r="O167" s="4">
        <v>8.4</v>
      </c>
      <c r="P167" s="4">
        <v>866</v>
      </c>
      <c r="Q167" s="5">
        <v>0.86</v>
      </c>
    </row>
    <row r="168" spans="1:17">
      <c r="A168" s="3">
        <v>166</v>
      </c>
      <c r="B168" s="2" t="s">
        <v>67</v>
      </c>
      <c r="C168" s="2" t="s">
        <v>33</v>
      </c>
      <c r="D168" s="2" t="s">
        <v>46</v>
      </c>
      <c r="E168" s="2" t="s">
        <v>47</v>
      </c>
      <c r="F168" s="4">
        <v>34.6</v>
      </c>
      <c r="G168" s="4">
        <v>3684.3</v>
      </c>
      <c r="H168" s="2" t="s">
        <v>36</v>
      </c>
      <c r="I168" s="2" t="s">
        <v>23</v>
      </c>
      <c r="J168" s="3">
        <v>210</v>
      </c>
      <c r="K168" s="5">
        <v>0.99</v>
      </c>
      <c r="L168" s="4">
        <v>77.599999999999994</v>
      </c>
      <c r="M168" s="4">
        <v>2618.6</v>
      </c>
      <c r="N168" s="4">
        <v>32.799999999999997</v>
      </c>
      <c r="O168" s="4">
        <v>8.5</v>
      </c>
      <c r="P168" s="4">
        <v>1428.1</v>
      </c>
      <c r="Q168" s="5">
        <v>1.42</v>
      </c>
    </row>
    <row r="169" spans="1:17">
      <c r="A169" s="3">
        <v>167</v>
      </c>
      <c r="B169" s="2" t="s">
        <v>155</v>
      </c>
      <c r="C169" s="2" t="s">
        <v>57</v>
      </c>
      <c r="D169" s="2" t="s">
        <v>116</v>
      </c>
      <c r="E169" s="2" t="s">
        <v>47</v>
      </c>
      <c r="F169" s="4">
        <v>14.4</v>
      </c>
      <c r="G169" s="4">
        <v>3786.5</v>
      </c>
      <c r="H169" s="2" t="s">
        <v>36</v>
      </c>
      <c r="I169" s="2" t="s">
        <v>23</v>
      </c>
      <c r="J169" s="3">
        <v>250</v>
      </c>
      <c r="K169" s="5">
        <v>0.99</v>
      </c>
      <c r="L169" s="4">
        <v>73.900000000000006</v>
      </c>
      <c r="M169" s="4">
        <v>2634.6</v>
      </c>
      <c r="N169" s="4">
        <v>32.6</v>
      </c>
      <c r="O169" s="4">
        <v>9.5</v>
      </c>
      <c r="P169" s="4">
        <v>1619</v>
      </c>
      <c r="Q169" s="5">
        <v>1.61</v>
      </c>
    </row>
    <row r="170" spans="1:17">
      <c r="A170" s="3">
        <v>168</v>
      </c>
      <c r="B170" s="2" t="s">
        <v>131</v>
      </c>
      <c r="C170" s="2" t="s">
        <v>41</v>
      </c>
      <c r="D170" s="2" t="s">
        <v>20</v>
      </c>
      <c r="E170" s="2" t="s">
        <v>21</v>
      </c>
      <c r="F170" s="4">
        <v>16.5</v>
      </c>
      <c r="G170" s="4">
        <v>2882.4</v>
      </c>
      <c r="H170" s="2" t="s">
        <v>43</v>
      </c>
      <c r="I170" s="2" t="s">
        <v>23</v>
      </c>
      <c r="J170" s="3">
        <v>250</v>
      </c>
      <c r="K170" s="5">
        <v>0.99</v>
      </c>
      <c r="L170" s="4">
        <v>69.2</v>
      </c>
      <c r="M170" s="4">
        <v>2626.2</v>
      </c>
      <c r="N170" s="4">
        <v>32.700000000000003</v>
      </c>
      <c r="O170" s="4">
        <v>10.3</v>
      </c>
      <c r="P170" s="4">
        <v>1515.5</v>
      </c>
      <c r="Q170" s="5">
        <v>1.51</v>
      </c>
    </row>
    <row r="171" spans="1:17">
      <c r="A171" s="3">
        <v>169</v>
      </c>
      <c r="B171" s="2" t="s">
        <v>124</v>
      </c>
      <c r="C171" s="2" t="s">
        <v>33</v>
      </c>
      <c r="D171" s="2" t="s">
        <v>46</v>
      </c>
      <c r="E171" s="2" t="s">
        <v>47</v>
      </c>
      <c r="F171" s="4">
        <v>31.9</v>
      </c>
      <c r="G171" s="4">
        <v>3939</v>
      </c>
      <c r="H171" s="2" t="s">
        <v>36</v>
      </c>
      <c r="I171" s="2" t="s">
        <v>23</v>
      </c>
      <c r="J171" s="3">
        <v>500</v>
      </c>
      <c r="K171" s="5">
        <v>0.99</v>
      </c>
      <c r="L171" s="4">
        <v>71.8</v>
      </c>
      <c r="M171" s="4">
        <v>2628.1</v>
      </c>
      <c r="N171" s="4">
        <v>32.700000000000003</v>
      </c>
      <c r="O171" s="4">
        <v>6.7</v>
      </c>
      <c r="P171" s="4">
        <v>3144</v>
      </c>
      <c r="Q171" s="5">
        <v>3.13</v>
      </c>
    </row>
    <row r="172" spans="1:17">
      <c r="A172" s="3">
        <v>170</v>
      </c>
      <c r="B172" s="2" t="s">
        <v>148</v>
      </c>
      <c r="C172" s="2" t="s">
        <v>57</v>
      </c>
      <c r="D172" s="2" t="s">
        <v>149</v>
      </c>
      <c r="E172" s="2" t="s">
        <v>35</v>
      </c>
      <c r="F172" s="4">
        <v>16.7</v>
      </c>
      <c r="G172" s="4">
        <v>3379</v>
      </c>
      <c r="H172" s="2" t="s">
        <v>39</v>
      </c>
      <c r="I172" s="2" t="s">
        <v>23</v>
      </c>
      <c r="J172" s="3">
        <v>250</v>
      </c>
      <c r="K172" s="5">
        <v>0.99</v>
      </c>
      <c r="L172" s="4">
        <v>81</v>
      </c>
      <c r="M172" s="4">
        <v>2620.6</v>
      </c>
      <c r="N172" s="4">
        <v>32.799999999999997</v>
      </c>
      <c r="O172" s="4">
        <v>7.9</v>
      </c>
      <c r="P172" s="4">
        <v>1774.4</v>
      </c>
      <c r="Q172" s="5">
        <v>1.77</v>
      </c>
    </row>
    <row r="173" spans="1:17">
      <c r="A173" s="3">
        <v>171</v>
      </c>
      <c r="B173" s="2" t="s">
        <v>121</v>
      </c>
      <c r="C173" s="2" t="s">
        <v>24</v>
      </c>
      <c r="D173" s="2" t="s">
        <v>122</v>
      </c>
      <c r="E173" s="2" t="s">
        <v>21</v>
      </c>
      <c r="F173" s="4">
        <v>11.4</v>
      </c>
      <c r="G173" s="4">
        <v>3482</v>
      </c>
      <c r="H173" s="2" t="s">
        <v>39</v>
      </c>
      <c r="I173" s="2" t="s">
        <v>23</v>
      </c>
      <c r="J173" s="3">
        <v>270</v>
      </c>
      <c r="K173" s="5">
        <v>1</v>
      </c>
      <c r="L173" s="4">
        <v>62.9</v>
      </c>
      <c r="M173" s="4">
        <v>2626.2</v>
      </c>
      <c r="N173" s="4">
        <v>32.700000000000003</v>
      </c>
      <c r="O173" s="4">
        <v>8.5</v>
      </c>
      <c r="P173" s="4">
        <v>1488.3</v>
      </c>
      <c r="Q173" s="5">
        <v>1.48</v>
      </c>
    </row>
    <row r="174" spans="1:17">
      <c r="A174" s="3">
        <v>172</v>
      </c>
      <c r="B174" s="2" t="s">
        <v>156</v>
      </c>
      <c r="C174" s="2" t="s">
        <v>24</v>
      </c>
      <c r="D174" s="2" t="s">
        <v>157</v>
      </c>
      <c r="E174" s="2" t="s">
        <v>47</v>
      </c>
      <c r="F174" s="4">
        <v>7.3</v>
      </c>
      <c r="G174" s="4">
        <v>3435</v>
      </c>
      <c r="H174" s="2" t="s">
        <v>39</v>
      </c>
      <c r="I174" s="2" t="s">
        <v>23</v>
      </c>
      <c r="J174" s="3">
        <v>250</v>
      </c>
      <c r="K174" s="5">
        <v>1</v>
      </c>
      <c r="L174" s="4">
        <v>65.2</v>
      </c>
      <c r="M174" s="4">
        <v>2626.3</v>
      </c>
      <c r="N174" s="4">
        <v>32.700000000000003</v>
      </c>
      <c r="O174" s="4">
        <v>7.7</v>
      </c>
      <c r="P174" s="4">
        <v>1427.2</v>
      </c>
      <c r="Q174" s="5">
        <v>1.42</v>
      </c>
    </row>
    <row r="175" spans="1:17">
      <c r="A175" s="3">
        <v>173</v>
      </c>
      <c r="B175" s="2" t="s">
        <v>156</v>
      </c>
      <c r="C175" s="2" t="s">
        <v>41</v>
      </c>
      <c r="D175" s="2" t="s">
        <v>157</v>
      </c>
      <c r="E175" s="2" t="s">
        <v>47</v>
      </c>
      <c r="F175" s="4">
        <v>5.4</v>
      </c>
      <c r="G175" s="4">
        <v>3435</v>
      </c>
      <c r="H175" s="2" t="s">
        <v>39</v>
      </c>
      <c r="I175" s="2" t="s">
        <v>23</v>
      </c>
      <c r="J175" s="3">
        <v>250</v>
      </c>
      <c r="K175" s="5">
        <v>1</v>
      </c>
      <c r="L175" s="4">
        <v>65.2</v>
      </c>
      <c r="M175" s="4">
        <v>2626.3</v>
      </c>
      <c r="N175" s="4">
        <v>32.700000000000003</v>
      </c>
      <c r="O175" s="4">
        <v>7.7</v>
      </c>
      <c r="P175" s="4">
        <v>1427</v>
      </c>
      <c r="Q175" s="5">
        <v>1.42</v>
      </c>
    </row>
    <row r="176" spans="1:17">
      <c r="A176" s="3">
        <v>174</v>
      </c>
      <c r="B176" s="2" t="s">
        <v>156</v>
      </c>
      <c r="C176" s="2" t="s">
        <v>33</v>
      </c>
      <c r="D176" s="2" t="s">
        <v>157</v>
      </c>
      <c r="E176" s="2" t="s">
        <v>47</v>
      </c>
      <c r="F176" s="4">
        <v>2.7</v>
      </c>
      <c r="G176" s="4">
        <v>3435</v>
      </c>
      <c r="H176" s="2" t="s">
        <v>39</v>
      </c>
      <c r="I176" s="2" t="s">
        <v>23</v>
      </c>
      <c r="J176" s="3">
        <v>250</v>
      </c>
      <c r="K176" s="5">
        <v>1</v>
      </c>
      <c r="L176" s="4">
        <v>80.3</v>
      </c>
      <c r="M176" s="4">
        <v>2626.3</v>
      </c>
      <c r="N176" s="4">
        <v>32.700000000000003</v>
      </c>
      <c r="O176" s="4">
        <v>7.7</v>
      </c>
      <c r="P176" s="4">
        <v>1758.6</v>
      </c>
      <c r="Q176" s="5">
        <v>1.75</v>
      </c>
    </row>
    <row r="177" spans="1:17">
      <c r="A177" s="3">
        <v>175</v>
      </c>
      <c r="B177" s="2" t="s">
        <v>156</v>
      </c>
      <c r="C177" s="2" t="s">
        <v>19</v>
      </c>
      <c r="D177" s="2" t="s">
        <v>157</v>
      </c>
      <c r="E177" s="2" t="s">
        <v>47</v>
      </c>
      <c r="F177" s="4">
        <v>8.4</v>
      </c>
      <c r="G177" s="4">
        <v>3435</v>
      </c>
      <c r="H177" s="2" t="s">
        <v>39</v>
      </c>
      <c r="I177" s="2" t="s">
        <v>23</v>
      </c>
      <c r="J177" s="3">
        <v>250</v>
      </c>
      <c r="K177" s="5">
        <v>1</v>
      </c>
      <c r="L177" s="4">
        <v>81.400000000000006</v>
      </c>
      <c r="M177" s="4">
        <v>2626.3</v>
      </c>
      <c r="N177" s="4">
        <v>32.700000000000003</v>
      </c>
      <c r="O177" s="4">
        <v>7.7</v>
      </c>
      <c r="P177" s="4">
        <v>1783.4</v>
      </c>
      <c r="Q177" s="5">
        <v>1.78</v>
      </c>
    </row>
    <row r="178" spans="1:17">
      <c r="A178" s="3">
        <v>176</v>
      </c>
      <c r="B178" s="2" t="s">
        <v>67</v>
      </c>
      <c r="C178" s="2" t="s">
        <v>51</v>
      </c>
      <c r="D178" s="2" t="s">
        <v>46</v>
      </c>
      <c r="E178" s="2" t="s">
        <v>47</v>
      </c>
      <c r="F178" s="4">
        <v>33.5</v>
      </c>
      <c r="G178" s="4">
        <v>3699.6</v>
      </c>
      <c r="H178" s="2" t="s">
        <v>36</v>
      </c>
      <c r="I178" s="2" t="s">
        <v>23</v>
      </c>
      <c r="J178" s="3">
        <v>210</v>
      </c>
      <c r="K178" s="5">
        <v>1</v>
      </c>
      <c r="L178" s="4">
        <v>89.4</v>
      </c>
      <c r="M178" s="4">
        <v>2626</v>
      </c>
      <c r="N178" s="4">
        <v>32.700000000000003</v>
      </c>
      <c r="O178" s="4">
        <v>8.5</v>
      </c>
      <c r="P178" s="4">
        <v>1645</v>
      </c>
      <c r="Q178" s="5">
        <v>1.64</v>
      </c>
    </row>
    <row r="179" spans="1:17">
      <c r="A179" s="3">
        <v>177</v>
      </c>
      <c r="B179" s="2" t="s">
        <v>158</v>
      </c>
      <c r="C179" s="2" t="s">
        <v>19</v>
      </c>
      <c r="D179" s="2" t="s">
        <v>159</v>
      </c>
      <c r="E179" s="2" t="s">
        <v>21</v>
      </c>
      <c r="F179" s="4">
        <v>9.3000000000000007</v>
      </c>
      <c r="G179" s="4">
        <v>3418</v>
      </c>
      <c r="H179" s="2" t="s">
        <v>39</v>
      </c>
      <c r="I179" s="2" t="s">
        <v>23</v>
      </c>
      <c r="J179" s="3">
        <v>600</v>
      </c>
      <c r="K179" s="5">
        <v>1</v>
      </c>
      <c r="L179" s="4">
        <v>65</v>
      </c>
      <c r="M179" s="4">
        <v>2631.2</v>
      </c>
      <c r="N179" s="4">
        <v>32.700000000000003</v>
      </c>
      <c r="O179" s="4">
        <v>6.1</v>
      </c>
      <c r="P179" s="4">
        <v>3417.3</v>
      </c>
      <c r="Q179" s="5">
        <v>3.41</v>
      </c>
    </row>
    <row r="180" spans="1:17">
      <c r="A180" s="3">
        <v>178</v>
      </c>
      <c r="B180" s="2" t="s">
        <v>158</v>
      </c>
      <c r="C180" s="2" t="s">
        <v>24</v>
      </c>
      <c r="D180" s="2" t="s">
        <v>159</v>
      </c>
      <c r="E180" s="2" t="s">
        <v>21</v>
      </c>
      <c r="F180" s="4">
        <v>8.4</v>
      </c>
      <c r="G180" s="4">
        <v>3418</v>
      </c>
      <c r="H180" s="2" t="s">
        <v>39</v>
      </c>
      <c r="I180" s="2" t="s">
        <v>23</v>
      </c>
      <c r="J180" s="3">
        <v>600</v>
      </c>
      <c r="K180" s="5">
        <v>1</v>
      </c>
      <c r="L180" s="4">
        <v>69.3</v>
      </c>
      <c r="M180" s="4">
        <v>2631.2</v>
      </c>
      <c r="N180" s="4">
        <v>32.700000000000003</v>
      </c>
      <c r="O180" s="4">
        <v>6.1</v>
      </c>
      <c r="P180" s="4">
        <v>3641.9</v>
      </c>
      <c r="Q180" s="5">
        <v>3.63</v>
      </c>
    </row>
    <row r="181" spans="1:17">
      <c r="A181" s="3">
        <v>179</v>
      </c>
      <c r="B181" s="2" t="s">
        <v>128</v>
      </c>
      <c r="C181" s="2" t="s">
        <v>24</v>
      </c>
      <c r="D181" s="2" t="s">
        <v>46</v>
      </c>
      <c r="E181" s="2" t="s">
        <v>47</v>
      </c>
      <c r="F181" s="4">
        <v>41.7</v>
      </c>
      <c r="G181" s="4">
        <v>3757.9</v>
      </c>
      <c r="H181" s="2" t="s">
        <v>36</v>
      </c>
      <c r="I181" s="2" t="s">
        <v>23</v>
      </c>
      <c r="J181" s="3">
        <v>200</v>
      </c>
      <c r="K181" s="5">
        <v>1</v>
      </c>
      <c r="L181" s="4">
        <v>75.8</v>
      </c>
      <c r="M181" s="4">
        <v>2623.3</v>
      </c>
      <c r="N181" s="4">
        <v>32.799999999999997</v>
      </c>
      <c r="O181" s="4">
        <v>8.9</v>
      </c>
      <c r="P181" s="4">
        <v>1327.2</v>
      </c>
      <c r="Q181" s="5">
        <v>1.32</v>
      </c>
    </row>
    <row r="182" spans="1:17">
      <c r="A182" s="3">
        <v>180</v>
      </c>
      <c r="B182" s="2" t="s">
        <v>160</v>
      </c>
      <c r="C182" s="2" t="s">
        <v>78</v>
      </c>
      <c r="D182" s="2" t="s">
        <v>93</v>
      </c>
      <c r="E182" s="2" t="s">
        <v>35</v>
      </c>
      <c r="F182" s="4">
        <v>16.7</v>
      </c>
      <c r="G182" s="4">
        <v>3402.2</v>
      </c>
      <c r="H182" s="2" t="s">
        <v>39</v>
      </c>
      <c r="I182" s="2" t="s">
        <v>23</v>
      </c>
      <c r="J182" s="3">
        <v>250</v>
      </c>
      <c r="K182" s="5">
        <v>1</v>
      </c>
      <c r="L182" s="4">
        <v>89.4</v>
      </c>
      <c r="M182" s="4">
        <v>2627.3</v>
      </c>
      <c r="N182" s="4">
        <v>32.700000000000003</v>
      </c>
      <c r="O182" s="4">
        <v>8.1</v>
      </c>
      <c r="P182" s="4">
        <v>1958.4</v>
      </c>
      <c r="Q182" s="5">
        <v>1.95</v>
      </c>
    </row>
    <row r="183" spans="1:17">
      <c r="A183" s="3">
        <v>181</v>
      </c>
      <c r="B183" s="2" t="s">
        <v>67</v>
      </c>
      <c r="C183" s="2" t="s">
        <v>78</v>
      </c>
      <c r="D183" s="2" t="s">
        <v>46</v>
      </c>
      <c r="E183" s="2" t="s">
        <v>47</v>
      </c>
      <c r="F183" s="4">
        <v>34.4</v>
      </c>
      <c r="G183" s="4">
        <v>3703</v>
      </c>
      <c r="H183" s="2" t="s">
        <v>36</v>
      </c>
      <c r="I183" s="2" t="s">
        <v>23</v>
      </c>
      <c r="J183" s="3">
        <v>210</v>
      </c>
      <c r="K183" s="5">
        <v>1</v>
      </c>
      <c r="L183" s="4">
        <v>81.7</v>
      </c>
      <c r="M183" s="4">
        <v>2628.4</v>
      </c>
      <c r="N183" s="4">
        <v>32.700000000000003</v>
      </c>
      <c r="O183" s="4">
        <v>8.5</v>
      </c>
      <c r="P183" s="4">
        <v>1502.1</v>
      </c>
      <c r="Q183" s="5">
        <v>1.5</v>
      </c>
    </row>
    <row r="184" spans="1:17">
      <c r="A184" s="3">
        <v>182</v>
      </c>
      <c r="B184" s="2" t="s">
        <v>153</v>
      </c>
      <c r="C184" s="2" t="s">
        <v>33</v>
      </c>
      <c r="D184" s="2" t="s">
        <v>154</v>
      </c>
      <c r="E184" s="2" t="s">
        <v>21</v>
      </c>
      <c r="F184" s="4">
        <v>39.6</v>
      </c>
      <c r="G184" s="4">
        <v>4650.8999999999996</v>
      </c>
      <c r="H184" s="2" t="s">
        <v>99</v>
      </c>
      <c r="I184" s="2" t="s">
        <v>23</v>
      </c>
      <c r="J184" s="3">
        <v>121</v>
      </c>
      <c r="K184" s="5">
        <v>1</v>
      </c>
      <c r="L184" s="4">
        <v>82.9</v>
      </c>
      <c r="M184" s="4">
        <v>2650.9</v>
      </c>
      <c r="N184" s="4">
        <v>32.4</v>
      </c>
      <c r="O184" s="4">
        <v>8</v>
      </c>
      <c r="P184" s="4">
        <v>879</v>
      </c>
      <c r="Q184" s="5">
        <v>0.88</v>
      </c>
    </row>
    <row r="185" spans="1:17">
      <c r="A185" s="3">
        <v>183</v>
      </c>
      <c r="B185" s="2" t="s">
        <v>161</v>
      </c>
      <c r="C185" s="2" t="s">
        <v>51</v>
      </c>
      <c r="D185" s="2" t="s">
        <v>162</v>
      </c>
      <c r="E185" s="2" t="s">
        <v>35</v>
      </c>
      <c r="F185" s="4">
        <v>11.4</v>
      </c>
      <c r="G185" s="4">
        <v>3552</v>
      </c>
      <c r="H185" s="2" t="s">
        <v>36</v>
      </c>
      <c r="I185" s="2" t="s">
        <v>23</v>
      </c>
      <c r="J185" s="3">
        <v>500</v>
      </c>
      <c r="K185" s="5">
        <v>1</v>
      </c>
      <c r="L185" s="4">
        <v>56.3</v>
      </c>
      <c r="M185" s="4">
        <v>2569.3000000000002</v>
      </c>
      <c r="N185" s="4">
        <v>33.5</v>
      </c>
      <c r="O185" s="4">
        <v>7.3</v>
      </c>
      <c r="P185" s="4">
        <v>2465</v>
      </c>
      <c r="Q185" s="5">
        <v>2.46</v>
      </c>
    </row>
    <row r="186" spans="1:17">
      <c r="A186" s="3">
        <v>184</v>
      </c>
      <c r="B186" s="2" t="s">
        <v>67</v>
      </c>
      <c r="C186" s="2" t="s">
        <v>24</v>
      </c>
      <c r="D186" s="2" t="s">
        <v>46</v>
      </c>
      <c r="E186" s="2" t="s">
        <v>47</v>
      </c>
      <c r="F186" s="4">
        <v>36</v>
      </c>
      <c r="G186" s="4">
        <v>3700</v>
      </c>
      <c r="H186" s="2" t="s">
        <v>36</v>
      </c>
      <c r="I186" s="2" t="s">
        <v>23</v>
      </c>
      <c r="J186" s="3">
        <v>210</v>
      </c>
      <c r="K186" s="5">
        <v>1</v>
      </c>
      <c r="L186" s="4">
        <v>84.4</v>
      </c>
      <c r="M186" s="4">
        <v>2629.3</v>
      </c>
      <c r="N186" s="4">
        <v>32.700000000000003</v>
      </c>
      <c r="O186" s="4">
        <v>8.5</v>
      </c>
      <c r="P186" s="4">
        <v>1553.1</v>
      </c>
      <c r="Q186" s="5">
        <v>1.55</v>
      </c>
    </row>
    <row r="187" spans="1:17">
      <c r="A187" s="3">
        <v>185</v>
      </c>
      <c r="B187" s="2" t="s">
        <v>163</v>
      </c>
      <c r="C187" s="2" t="s">
        <v>19</v>
      </c>
      <c r="D187" s="2" t="s">
        <v>46</v>
      </c>
      <c r="E187" s="2" t="s">
        <v>47</v>
      </c>
      <c r="F187" s="4">
        <v>9.1</v>
      </c>
      <c r="G187" s="4">
        <v>4053.6</v>
      </c>
      <c r="H187" s="2" t="s">
        <v>29</v>
      </c>
      <c r="I187" s="2" t="s">
        <v>23</v>
      </c>
      <c r="J187" s="3">
        <v>250</v>
      </c>
      <c r="K187" s="5">
        <v>1</v>
      </c>
      <c r="L187" s="4">
        <v>65.900000000000006</v>
      </c>
      <c r="M187" s="4">
        <v>2633</v>
      </c>
      <c r="N187" s="4">
        <v>32.700000000000003</v>
      </c>
      <c r="O187" s="4">
        <v>8.6</v>
      </c>
      <c r="P187" s="4">
        <v>1444</v>
      </c>
      <c r="Q187" s="5">
        <v>1.44</v>
      </c>
    </row>
    <row r="188" spans="1:17">
      <c r="A188" s="3">
        <v>186</v>
      </c>
      <c r="B188" s="2" t="s">
        <v>164</v>
      </c>
      <c r="C188" s="2" t="s">
        <v>19</v>
      </c>
      <c r="D188" s="2" t="s">
        <v>165</v>
      </c>
      <c r="E188" s="2" t="s">
        <v>21</v>
      </c>
      <c r="F188" s="4">
        <v>11.4</v>
      </c>
      <c r="G188" s="4">
        <v>3551</v>
      </c>
      <c r="H188" s="2" t="s">
        <v>36</v>
      </c>
      <c r="I188" s="2" t="s">
        <v>23</v>
      </c>
      <c r="J188" s="3">
        <v>270</v>
      </c>
      <c r="K188" s="5">
        <v>1</v>
      </c>
      <c r="L188" s="4">
        <v>29.3</v>
      </c>
      <c r="M188" s="4">
        <v>2621.4</v>
      </c>
      <c r="N188" s="4">
        <v>32.799999999999997</v>
      </c>
      <c r="O188" s="4">
        <v>8.8000000000000007</v>
      </c>
      <c r="P188" s="4">
        <v>692.3</v>
      </c>
      <c r="Q188" s="5">
        <v>0.69</v>
      </c>
    </row>
    <row r="189" spans="1:17">
      <c r="A189" s="3">
        <v>187</v>
      </c>
      <c r="B189" s="2" t="s">
        <v>128</v>
      </c>
      <c r="C189" s="2" t="s">
        <v>33</v>
      </c>
      <c r="D189" s="2" t="s">
        <v>46</v>
      </c>
      <c r="E189" s="2" t="s">
        <v>47</v>
      </c>
      <c r="F189" s="4">
        <v>40.799999999999997</v>
      </c>
      <c r="G189" s="4">
        <v>3737.2</v>
      </c>
      <c r="H189" s="2" t="s">
        <v>36</v>
      </c>
      <c r="I189" s="2" t="s">
        <v>23</v>
      </c>
      <c r="J189" s="3">
        <v>200</v>
      </c>
      <c r="K189" s="5">
        <v>1</v>
      </c>
      <c r="L189" s="4">
        <v>77</v>
      </c>
      <c r="M189" s="4">
        <v>2630.5</v>
      </c>
      <c r="N189" s="4">
        <v>32.700000000000003</v>
      </c>
      <c r="O189" s="4">
        <v>9.1</v>
      </c>
      <c r="P189" s="4">
        <v>1348.5</v>
      </c>
      <c r="Q189" s="5">
        <v>1.35</v>
      </c>
    </row>
    <row r="190" spans="1:17">
      <c r="A190" s="3">
        <v>188</v>
      </c>
      <c r="B190" s="2" t="s">
        <v>163</v>
      </c>
      <c r="C190" s="2" t="s">
        <v>24</v>
      </c>
      <c r="D190" s="2" t="s">
        <v>46</v>
      </c>
      <c r="E190" s="2" t="s">
        <v>47</v>
      </c>
      <c r="F190" s="4">
        <v>7.4</v>
      </c>
      <c r="G190" s="4">
        <v>4064.5</v>
      </c>
      <c r="H190" s="2" t="s">
        <v>29</v>
      </c>
      <c r="I190" s="2" t="s">
        <v>23</v>
      </c>
      <c r="J190" s="3">
        <v>250</v>
      </c>
      <c r="K190" s="5">
        <v>1</v>
      </c>
      <c r="L190" s="4">
        <v>75.900000000000006</v>
      </c>
      <c r="M190" s="4">
        <v>2639.9</v>
      </c>
      <c r="N190" s="4">
        <v>32.6</v>
      </c>
      <c r="O190" s="4">
        <v>8.6</v>
      </c>
      <c r="P190" s="4">
        <v>1662.2</v>
      </c>
      <c r="Q190" s="5">
        <v>1.66</v>
      </c>
    </row>
    <row r="191" spans="1:17">
      <c r="A191" s="3">
        <v>189</v>
      </c>
      <c r="B191" s="2" t="s">
        <v>128</v>
      </c>
      <c r="C191" s="2" t="s">
        <v>41</v>
      </c>
      <c r="D191" s="2" t="s">
        <v>46</v>
      </c>
      <c r="E191" s="2" t="s">
        <v>47</v>
      </c>
      <c r="F191" s="4">
        <v>41.4</v>
      </c>
      <c r="G191" s="4">
        <v>3761.2</v>
      </c>
      <c r="H191" s="2" t="s">
        <v>36</v>
      </c>
      <c r="I191" s="2" t="s">
        <v>23</v>
      </c>
      <c r="J191" s="3">
        <v>200</v>
      </c>
      <c r="K191" s="5">
        <v>1</v>
      </c>
      <c r="L191" s="4">
        <v>88.2</v>
      </c>
      <c r="M191" s="4">
        <v>2634.2</v>
      </c>
      <c r="N191" s="4">
        <v>32.6</v>
      </c>
      <c r="O191" s="4">
        <v>9.1</v>
      </c>
      <c r="P191" s="4">
        <v>1544.5</v>
      </c>
      <c r="Q191" s="5">
        <v>1.54</v>
      </c>
    </row>
    <row r="192" spans="1:17">
      <c r="A192" s="3">
        <v>190</v>
      </c>
      <c r="B192" s="2" t="s">
        <v>166</v>
      </c>
      <c r="C192" s="2" t="s">
        <v>33</v>
      </c>
      <c r="D192" s="2" t="s">
        <v>167</v>
      </c>
      <c r="E192" s="2" t="s">
        <v>47</v>
      </c>
      <c r="F192" s="4">
        <v>7.4</v>
      </c>
      <c r="G192" s="4">
        <v>3614.1</v>
      </c>
      <c r="H192" s="2" t="s">
        <v>36</v>
      </c>
      <c r="I192" s="2" t="s">
        <v>23</v>
      </c>
      <c r="J192" s="3">
        <v>195</v>
      </c>
      <c r="K192" s="5">
        <v>1</v>
      </c>
      <c r="L192" s="4">
        <v>76.3</v>
      </c>
      <c r="M192" s="4">
        <v>2637.1</v>
      </c>
      <c r="N192" s="4">
        <v>32.6</v>
      </c>
      <c r="O192" s="4">
        <v>9.1999999999999993</v>
      </c>
      <c r="P192" s="4">
        <v>1303.5999999999999</v>
      </c>
      <c r="Q192" s="5">
        <v>1.31</v>
      </c>
    </row>
    <row r="193" spans="1:17">
      <c r="A193" s="3">
        <v>191</v>
      </c>
      <c r="B193" s="2" t="s">
        <v>163</v>
      </c>
      <c r="C193" s="2" t="s">
        <v>41</v>
      </c>
      <c r="D193" s="2" t="s">
        <v>46</v>
      </c>
      <c r="E193" s="2" t="s">
        <v>47</v>
      </c>
      <c r="F193" s="4">
        <v>5.4</v>
      </c>
      <c r="G193" s="4">
        <v>4092.8</v>
      </c>
      <c r="H193" s="2" t="s">
        <v>29</v>
      </c>
      <c r="I193" s="2" t="s">
        <v>23</v>
      </c>
      <c r="J193" s="3">
        <v>250</v>
      </c>
      <c r="K193" s="5">
        <v>1</v>
      </c>
      <c r="L193" s="4">
        <v>67.900000000000006</v>
      </c>
      <c r="M193" s="4">
        <v>2645.1</v>
      </c>
      <c r="N193" s="4">
        <v>32.5</v>
      </c>
      <c r="O193" s="4">
        <v>8.6</v>
      </c>
      <c r="P193" s="4">
        <v>1487.1</v>
      </c>
      <c r="Q193" s="5">
        <v>1.49</v>
      </c>
    </row>
    <row r="194" spans="1:17">
      <c r="A194" s="3">
        <v>192</v>
      </c>
      <c r="B194" s="2" t="s">
        <v>166</v>
      </c>
      <c r="C194" s="2" t="s">
        <v>41</v>
      </c>
      <c r="D194" s="2" t="s">
        <v>167</v>
      </c>
      <c r="E194" s="2" t="s">
        <v>47</v>
      </c>
      <c r="F194" s="4">
        <v>9.4</v>
      </c>
      <c r="G194" s="4">
        <v>3601.5</v>
      </c>
      <c r="H194" s="2" t="s">
        <v>36</v>
      </c>
      <c r="I194" s="2" t="s">
        <v>23</v>
      </c>
      <c r="J194" s="3">
        <v>195</v>
      </c>
      <c r="K194" s="5">
        <v>1</v>
      </c>
      <c r="L194" s="4">
        <v>82.3</v>
      </c>
      <c r="M194" s="4">
        <v>2641.2</v>
      </c>
      <c r="N194" s="4">
        <v>32.6</v>
      </c>
      <c r="O194" s="4">
        <v>9.6</v>
      </c>
      <c r="P194" s="4">
        <v>1406.3</v>
      </c>
      <c r="Q194" s="5">
        <v>1.41</v>
      </c>
    </row>
    <row r="195" spans="1:17">
      <c r="A195" s="3">
        <v>193</v>
      </c>
      <c r="B195" s="2" t="s">
        <v>153</v>
      </c>
      <c r="C195" s="2" t="s">
        <v>41</v>
      </c>
      <c r="D195" s="2" t="s">
        <v>154</v>
      </c>
      <c r="E195" s="2" t="s">
        <v>21</v>
      </c>
      <c r="F195" s="4">
        <v>45.8</v>
      </c>
      <c r="G195" s="4">
        <v>4631.7</v>
      </c>
      <c r="H195" s="2" t="s">
        <v>99</v>
      </c>
      <c r="I195" s="2" t="s">
        <v>23</v>
      </c>
      <c r="J195" s="3">
        <v>120</v>
      </c>
      <c r="K195" s="5">
        <v>1</v>
      </c>
      <c r="L195" s="4">
        <v>78.099999999999994</v>
      </c>
      <c r="M195" s="4">
        <v>2674.1</v>
      </c>
      <c r="N195" s="4">
        <v>32.200000000000003</v>
      </c>
      <c r="O195" s="4">
        <v>8.6</v>
      </c>
      <c r="P195" s="4">
        <v>821</v>
      </c>
      <c r="Q195" s="5">
        <v>0.82</v>
      </c>
    </row>
    <row r="196" spans="1:17">
      <c r="A196" s="3">
        <v>194</v>
      </c>
      <c r="B196" s="2" t="s">
        <v>128</v>
      </c>
      <c r="C196" s="2" t="s">
        <v>78</v>
      </c>
      <c r="D196" s="2" t="s">
        <v>46</v>
      </c>
      <c r="E196" s="2" t="s">
        <v>47</v>
      </c>
      <c r="F196" s="4">
        <v>40.4</v>
      </c>
      <c r="G196" s="4">
        <v>3763</v>
      </c>
      <c r="H196" s="2" t="s">
        <v>36</v>
      </c>
      <c r="I196" s="2" t="s">
        <v>23</v>
      </c>
      <c r="J196" s="3">
        <v>200</v>
      </c>
      <c r="K196" s="5">
        <v>1</v>
      </c>
      <c r="L196" s="4">
        <v>81</v>
      </c>
      <c r="M196" s="4">
        <v>2645.9</v>
      </c>
      <c r="N196" s="4">
        <v>32.5</v>
      </c>
      <c r="O196" s="4">
        <v>9</v>
      </c>
      <c r="P196" s="4">
        <v>1419.7</v>
      </c>
      <c r="Q196" s="5">
        <v>1.43</v>
      </c>
    </row>
    <row r="197" spans="1:17">
      <c r="A197" s="3">
        <v>195</v>
      </c>
      <c r="B197" s="2" t="s">
        <v>160</v>
      </c>
      <c r="C197" s="2" t="s">
        <v>51</v>
      </c>
      <c r="D197" s="2" t="s">
        <v>93</v>
      </c>
      <c r="E197" s="2" t="s">
        <v>35</v>
      </c>
      <c r="F197" s="4">
        <v>13.1</v>
      </c>
      <c r="G197" s="4">
        <v>3402.2</v>
      </c>
      <c r="H197" s="2" t="s">
        <v>39</v>
      </c>
      <c r="I197" s="2" t="s">
        <v>23</v>
      </c>
      <c r="J197" s="3">
        <v>250</v>
      </c>
      <c r="K197" s="5">
        <v>1.01</v>
      </c>
      <c r="L197" s="4">
        <v>78.400000000000006</v>
      </c>
      <c r="M197" s="4">
        <v>2649.8</v>
      </c>
      <c r="N197" s="4">
        <v>32.4</v>
      </c>
      <c r="O197" s="4">
        <v>8.1</v>
      </c>
      <c r="P197" s="4">
        <v>1717.7</v>
      </c>
      <c r="Q197" s="5">
        <v>1.73</v>
      </c>
    </row>
    <row r="198" spans="1:17">
      <c r="A198" s="3">
        <v>196</v>
      </c>
      <c r="B198" s="2" t="s">
        <v>90</v>
      </c>
      <c r="C198" s="2" t="s">
        <v>33</v>
      </c>
      <c r="D198" s="2" t="s">
        <v>46</v>
      </c>
      <c r="E198" s="2" t="s">
        <v>47</v>
      </c>
      <c r="F198" s="4">
        <v>28.4</v>
      </c>
      <c r="G198" s="4">
        <v>3512.3</v>
      </c>
      <c r="H198" s="2" t="s">
        <v>36</v>
      </c>
      <c r="I198" s="2" t="s">
        <v>23</v>
      </c>
      <c r="J198" s="3">
        <v>210</v>
      </c>
      <c r="K198" s="5">
        <v>1.01</v>
      </c>
      <c r="L198" s="4">
        <v>65.2</v>
      </c>
      <c r="M198" s="4">
        <v>2662.1</v>
      </c>
      <c r="N198" s="4">
        <v>32.299999999999997</v>
      </c>
      <c r="O198" s="4">
        <v>9.1999999999999993</v>
      </c>
      <c r="P198" s="4">
        <v>1199.5</v>
      </c>
      <c r="Q198" s="5">
        <v>1.21</v>
      </c>
    </row>
    <row r="199" spans="1:17">
      <c r="A199" s="3">
        <v>197</v>
      </c>
      <c r="B199" s="2" t="s">
        <v>100</v>
      </c>
      <c r="C199" s="2" t="s">
        <v>24</v>
      </c>
      <c r="D199" s="2" t="s">
        <v>101</v>
      </c>
      <c r="E199" s="2" t="s">
        <v>21</v>
      </c>
      <c r="F199" s="4">
        <v>14.1</v>
      </c>
      <c r="G199" s="4">
        <v>3835</v>
      </c>
      <c r="H199" s="2" t="s">
        <v>36</v>
      </c>
      <c r="I199" s="2" t="s">
        <v>23</v>
      </c>
      <c r="J199" s="3">
        <v>300</v>
      </c>
      <c r="K199" s="5">
        <v>1.01</v>
      </c>
      <c r="L199" s="4">
        <v>70.7</v>
      </c>
      <c r="M199" s="4">
        <v>2654.5</v>
      </c>
      <c r="N199" s="4">
        <v>32.4</v>
      </c>
      <c r="O199" s="4">
        <v>8.3000000000000007</v>
      </c>
      <c r="P199" s="4">
        <v>1856.8</v>
      </c>
      <c r="Q199" s="5">
        <v>1.87</v>
      </c>
    </row>
    <row r="200" spans="1:17">
      <c r="A200" s="3">
        <v>198</v>
      </c>
      <c r="B200" s="2" t="s">
        <v>168</v>
      </c>
      <c r="C200" s="2" t="s">
        <v>19</v>
      </c>
      <c r="D200" s="2" t="s">
        <v>116</v>
      </c>
      <c r="E200" s="2" t="s">
        <v>47</v>
      </c>
      <c r="F200" s="4">
        <v>13</v>
      </c>
      <c r="G200" s="4">
        <v>4007.1</v>
      </c>
      <c r="H200" s="2" t="s">
        <v>29</v>
      </c>
      <c r="I200" s="2" t="s">
        <v>23</v>
      </c>
      <c r="J200" s="3">
        <v>500</v>
      </c>
      <c r="K200" s="5">
        <v>1.01</v>
      </c>
      <c r="L200" s="4">
        <v>81.400000000000006</v>
      </c>
      <c r="M200" s="4">
        <v>2674</v>
      </c>
      <c r="N200" s="4">
        <v>32.200000000000003</v>
      </c>
      <c r="O200" s="4">
        <v>5.2</v>
      </c>
      <c r="P200" s="4">
        <v>3565</v>
      </c>
      <c r="Q200" s="5">
        <v>3.59</v>
      </c>
    </row>
    <row r="201" spans="1:17">
      <c r="A201" s="3">
        <v>199</v>
      </c>
      <c r="B201" s="2" t="s">
        <v>67</v>
      </c>
      <c r="C201" s="2" t="s">
        <v>41</v>
      </c>
      <c r="D201" s="2" t="s">
        <v>46</v>
      </c>
      <c r="E201" s="2" t="s">
        <v>47</v>
      </c>
      <c r="F201" s="4">
        <v>35.5</v>
      </c>
      <c r="G201" s="4">
        <v>3686.3</v>
      </c>
      <c r="H201" s="2" t="s">
        <v>36</v>
      </c>
      <c r="I201" s="2" t="s">
        <v>23</v>
      </c>
      <c r="J201" s="3">
        <v>210</v>
      </c>
      <c r="K201" s="5">
        <v>1.01</v>
      </c>
      <c r="L201" s="4">
        <v>73.599999999999994</v>
      </c>
      <c r="M201" s="4">
        <v>2655.4</v>
      </c>
      <c r="N201" s="4">
        <v>32.4</v>
      </c>
      <c r="O201" s="4">
        <v>9.1</v>
      </c>
      <c r="P201" s="4">
        <v>1354.3</v>
      </c>
      <c r="Q201" s="5">
        <v>1.37</v>
      </c>
    </row>
    <row r="202" spans="1:17">
      <c r="A202" s="3">
        <v>200</v>
      </c>
      <c r="B202" s="2" t="s">
        <v>124</v>
      </c>
      <c r="C202" s="2" t="s">
        <v>19</v>
      </c>
      <c r="D202" s="2" t="s">
        <v>46</v>
      </c>
      <c r="E202" s="2" t="s">
        <v>47</v>
      </c>
      <c r="F202" s="4">
        <v>38.6</v>
      </c>
      <c r="G202" s="4">
        <v>3934.4</v>
      </c>
      <c r="H202" s="2" t="s">
        <v>36</v>
      </c>
      <c r="I202" s="2" t="s">
        <v>23</v>
      </c>
      <c r="J202" s="3">
        <v>200</v>
      </c>
      <c r="K202" s="5">
        <v>1.01</v>
      </c>
      <c r="L202" s="4">
        <v>68.7</v>
      </c>
      <c r="M202" s="4">
        <v>2682.3</v>
      </c>
      <c r="N202" s="4">
        <v>32.1</v>
      </c>
      <c r="O202" s="4">
        <v>9.5</v>
      </c>
      <c r="P202" s="4">
        <v>1203.5</v>
      </c>
      <c r="Q202" s="5">
        <v>1.21</v>
      </c>
    </row>
    <row r="203" spans="1:17">
      <c r="A203" s="3">
        <v>201</v>
      </c>
      <c r="B203" s="2" t="s">
        <v>169</v>
      </c>
      <c r="C203" s="2" t="s">
        <v>19</v>
      </c>
      <c r="D203" s="2" t="s">
        <v>170</v>
      </c>
      <c r="E203" s="2" t="s">
        <v>35</v>
      </c>
      <c r="F203" s="4">
        <v>10.7</v>
      </c>
      <c r="G203" s="4">
        <v>3331</v>
      </c>
      <c r="H203" s="2" t="s">
        <v>39</v>
      </c>
      <c r="I203" s="2" t="s">
        <v>23</v>
      </c>
      <c r="J203" s="3">
        <v>600</v>
      </c>
      <c r="K203" s="5">
        <v>1.01</v>
      </c>
      <c r="L203" s="4">
        <v>56.5</v>
      </c>
      <c r="M203" s="4">
        <v>2656.9</v>
      </c>
      <c r="N203" s="4">
        <v>32.4</v>
      </c>
      <c r="O203" s="4">
        <v>6.2</v>
      </c>
      <c r="P203" s="4">
        <v>2970</v>
      </c>
      <c r="Q203" s="5">
        <v>3</v>
      </c>
    </row>
    <row r="204" spans="1:17">
      <c r="A204" s="3">
        <v>202</v>
      </c>
      <c r="B204" s="2" t="s">
        <v>90</v>
      </c>
      <c r="C204" s="2" t="s">
        <v>41</v>
      </c>
      <c r="D204" s="2" t="s">
        <v>46</v>
      </c>
      <c r="E204" s="2" t="s">
        <v>47</v>
      </c>
      <c r="F204" s="4">
        <v>29.4</v>
      </c>
      <c r="G204" s="4">
        <v>3526</v>
      </c>
      <c r="H204" s="2" t="s">
        <v>36</v>
      </c>
      <c r="I204" s="2" t="s">
        <v>23</v>
      </c>
      <c r="J204" s="3">
        <v>210</v>
      </c>
      <c r="K204" s="5">
        <v>1.01</v>
      </c>
      <c r="L204" s="4">
        <v>60.8</v>
      </c>
      <c r="M204" s="4">
        <v>2679.5</v>
      </c>
      <c r="N204" s="4">
        <v>32.1</v>
      </c>
      <c r="O204" s="4">
        <v>9.6999999999999993</v>
      </c>
      <c r="P204" s="4">
        <v>1118.2</v>
      </c>
      <c r="Q204" s="5">
        <v>1.1299999999999999</v>
      </c>
    </row>
    <row r="205" spans="1:17">
      <c r="A205" s="3">
        <v>203</v>
      </c>
      <c r="B205" s="2" t="s">
        <v>90</v>
      </c>
      <c r="C205" s="2" t="s">
        <v>19</v>
      </c>
      <c r="D205" s="2" t="s">
        <v>46</v>
      </c>
      <c r="E205" s="2" t="s">
        <v>47</v>
      </c>
      <c r="F205" s="4">
        <v>32.4</v>
      </c>
      <c r="G205" s="4">
        <v>3497.9</v>
      </c>
      <c r="H205" s="2" t="s">
        <v>39</v>
      </c>
      <c r="I205" s="2" t="s">
        <v>23</v>
      </c>
      <c r="J205" s="3">
        <v>210</v>
      </c>
      <c r="K205" s="5">
        <v>1.01</v>
      </c>
      <c r="L205" s="4">
        <v>75.5</v>
      </c>
      <c r="M205" s="4">
        <v>2681.6</v>
      </c>
      <c r="N205" s="4">
        <v>32.1</v>
      </c>
      <c r="O205" s="4">
        <v>9.6</v>
      </c>
      <c r="P205" s="4">
        <v>1388.9</v>
      </c>
      <c r="Q205" s="5">
        <v>1.41</v>
      </c>
    </row>
    <row r="206" spans="1:17">
      <c r="A206" s="3">
        <v>204</v>
      </c>
      <c r="B206" s="2" t="s">
        <v>168</v>
      </c>
      <c r="C206" s="2" t="s">
        <v>24</v>
      </c>
      <c r="D206" s="2" t="s">
        <v>116</v>
      </c>
      <c r="E206" s="2" t="s">
        <v>47</v>
      </c>
      <c r="F206" s="4">
        <v>11.5</v>
      </c>
      <c r="G206" s="4">
        <v>4004.7</v>
      </c>
      <c r="H206" s="2" t="s">
        <v>29</v>
      </c>
      <c r="I206" s="2" t="s">
        <v>23</v>
      </c>
      <c r="J206" s="3">
        <v>500</v>
      </c>
      <c r="K206" s="5">
        <v>1.02</v>
      </c>
      <c r="L206" s="4">
        <v>75.8</v>
      </c>
      <c r="M206" s="4">
        <v>2695.4</v>
      </c>
      <c r="N206" s="4">
        <v>31.9</v>
      </c>
      <c r="O206" s="4">
        <v>5.4</v>
      </c>
      <c r="P206" s="4">
        <v>3321.8</v>
      </c>
      <c r="Q206" s="5">
        <v>3.37</v>
      </c>
    </row>
    <row r="207" spans="1:17">
      <c r="A207" s="3">
        <v>205</v>
      </c>
      <c r="B207" s="2" t="s">
        <v>67</v>
      </c>
      <c r="C207" s="2" t="s">
        <v>19</v>
      </c>
      <c r="D207" s="2" t="s">
        <v>46</v>
      </c>
      <c r="E207" s="2" t="s">
        <v>47</v>
      </c>
      <c r="F207" s="4">
        <v>36.799999999999997</v>
      </c>
      <c r="G207" s="4">
        <v>3714.1</v>
      </c>
      <c r="H207" s="2" t="s">
        <v>36</v>
      </c>
      <c r="I207" s="2" t="s">
        <v>23</v>
      </c>
      <c r="J207" s="3">
        <v>210</v>
      </c>
      <c r="K207" s="5">
        <v>1.02</v>
      </c>
      <c r="L207" s="4">
        <v>75.5</v>
      </c>
      <c r="M207" s="4">
        <v>2674.7</v>
      </c>
      <c r="N207" s="4">
        <v>32.1</v>
      </c>
      <c r="O207" s="4">
        <v>9.4</v>
      </c>
      <c r="P207" s="4">
        <v>1389.6</v>
      </c>
      <c r="Q207" s="5">
        <v>1.41</v>
      </c>
    </row>
    <row r="208" spans="1:17">
      <c r="A208" s="3">
        <v>206</v>
      </c>
      <c r="B208" s="2" t="s">
        <v>94</v>
      </c>
      <c r="C208" s="2" t="s">
        <v>19</v>
      </c>
      <c r="D208" s="2" t="s">
        <v>46</v>
      </c>
      <c r="E208" s="2" t="s">
        <v>47</v>
      </c>
      <c r="F208" s="4">
        <v>32.6</v>
      </c>
      <c r="G208" s="4">
        <v>3782.4</v>
      </c>
      <c r="H208" s="2" t="s">
        <v>36</v>
      </c>
      <c r="I208" s="2" t="s">
        <v>23</v>
      </c>
      <c r="J208" s="3">
        <v>210</v>
      </c>
      <c r="K208" s="5">
        <v>1.02</v>
      </c>
      <c r="L208" s="4">
        <v>61.2</v>
      </c>
      <c r="M208" s="4">
        <v>2699.6</v>
      </c>
      <c r="N208" s="4">
        <v>31.9</v>
      </c>
      <c r="O208" s="4">
        <v>8.1</v>
      </c>
      <c r="P208" s="4">
        <v>1125.4000000000001</v>
      </c>
      <c r="Q208" s="5">
        <v>1.1399999999999999</v>
      </c>
    </row>
    <row r="209" spans="1:17">
      <c r="A209" s="3">
        <v>207</v>
      </c>
      <c r="B209" s="2" t="s">
        <v>90</v>
      </c>
      <c r="C209" s="2" t="s">
        <v>24</v>
      </c>
      <c r="D209" s="2" t="s">
        <v>46</v>
      </c>
      <c r="E209" s="2" t="s">
        <v>47</v>
      </c>
      <c r="F209" s="4">
        <v>30.4</v>
      </c>
      <c r="G209" s="4">
        <v>3469.6</v>
      </c>
      <c r="H209" s="2" t="s">
        <v>39</v>
      </c>
      <c r="I209" s="2" t="s">
        <v>23</v>
      </c>
      <c r="J209" s="3">
        <v>210</v>
      </c>
      <c r="K209" s="5">
        <v>1.02</v>
      </c>
      <c r="L209" s="4">
        <v>62.2</v>
      </c>
      <c r="M209" s="4">
        <v>2690.6</v>
      </c>
      <c r="N209" s="4">
        <v>32</v>
      </c>
      <c r="O209" s="4">
        <v>10.199999999999999</v>
      </c>
      <c r="P209" s="4">
        <v>1143.5</v>
      </c>
      <c r="Q209" s="5">
        <v>1.1599999999999999</v>
      </c>
    </row>
    <row r="210" spans="1:17">
      <c r="A210" s="3">
        <v>208</v>
      </c>
      <c r="B210" s="2" t="s">
        <v>171</v>
      </c>
      <c r="C210" s="2" t="s">
        <v>78</v>
      </c>
      <c r="D210" s="2" t="s">
        <v>52</v>
      </c>
      <c r="E210" s="2" t="s">
        <v>35</v>
      </c>
      <c r="F210" s="4">
        <v>12.2</v>
      </c>
      <c r="G210" s="4">
        <v>3401</v>
      </c>
      <c r="H210" s="2" t="s">
        <v>39</v>
      </c>
      <c r="I210" s="2" t="s">
        <v>23</v>
      </c>
      <c r="J210" s="3">
        <v>250</v>
      </c>
      <c r="K210" s="5">
        <v>1.02</v>
      </c>
      <c r="L210" s="4">
        <v>62.2</v>
      </c>
      <c r="M210" s="4">
        <v>2677.4</v>
      </c>
      <c r="N210" s="4">
        <v>32.1</v>
      </c>
      <c r="O210" s="4">
        <v>9</v>
      </c>
      <c r="P210" s="4">
        <v>1363</v>
      </c>
      <c r="Q210" s="5">
        <v>1.39</v>
      </c>
    </row>
    <row r="211" spans="1:17">
      <c r="A211" s="3">
        <v>209</v>
      </c>
      <c r="B211" s="2" t="s">
        <v>50</v>
      </c>
      <c r="C211" s="2" t="s">
        <v>19</v>
      </c>
      <c r="D211" s="2" t="s">
        <v>52</v>
      </c>
      <c r="E211" s="2" t="s">
        <v>35</v>
      </c>
      <c r="F211" s="4">
        <v>37.6</v>
      </c>
      <c r="G211" s="4">
        <v>3216</v>
      </c>
      <c r="H211" s="2" t="s">
        <v>39</v>
      </c>
      <c r="I211" s="2" t="s">
        <v>23</v>
      </c>
      <c r="J211" s="3">
        <v>210</v>
      </c>
      <c r="K211" s="5">
        <v>1.02</v>
      </c>
      <c r="L211" s="4">
        <v>76.099999999999994</v>
      </c>
      <c r="M211" s="4">
        <v>2681.2</v>
      </c>
      <c r="N211" s="4">
        <v>32.1</v>
      </c>
      <c r="O211" s="4">
        <v>9.9</v>
      </c>
      <c r="P211" s="4">
        <v>1399.6</v>
      </c>
      <c r="Q211" s="5">
        <v>1.42</v>
      </c>
    </row>
    <row r="212" spans="1:17">
      <c r="A212" s="3">
        <v>210</v>
      </c>
      <c r="B212" s="2" t="s">
        <v>94</v>
      </c>
      <c r="C212" s="2" t="s">
        <v>24</v>
      </c>
      <c r="D212" s="2" t="s">
        <v>46</v>
      </c>
      <c r="E212" s="2" t="s">
        <v>47</v>
      </c>
      <c r="F212" s="4">
        <v>31.6</v>
      </c>
      <c r="G212" s="4">
        <v>3783.4</v>
      </c>
      <c r="H212" s="2" t="s">
        <v>36</v>
      </c>
      <c r="I212" s="2" t="s">
        <v>23</v>
      </c>
      <c r="J212" s="3">
        <v>210</v>
      </c>
      <c r="K212" s="5">
        <v>1.02</v>
      </c>
      <c r="L212" s="4">
        <v>65.400000000000006</v>
      </c>
      <c r="M212" s="4">
        <v>2707.2</v>
      </c>
      <c r="N212" s="4">
        <v>31.8</v>
      </c>
      <c r="O212" s="4">
        <v>8.8000000000000007</v>
      </c>
      <c r="P212" s="4">
        <v>1203.4000000000001</v>
      </c>
      <c r="Q212" s="5">
        <v>1.23</v>
      </c>
    </row>
    <row r="213" spans="1:17">
      <c r="A213" s="3">
        <v>211</v>
      </c>
      <c r="B213" s="2" t="s">
        <v>94</v>
      </c>
      <c r="C213" s="2" t="s">
        <v>41</v>
      </c>
      <c r="D213" s="2" t="s">
        <v>46</v>
      </c>
      <c r="E213" s="2" t="s">
        <v>47</v>
      </c>
      <c r="F213" s="4">
        <v>32.1</v>
      </c>
      <c r="G213" s="4">
        <v>3787.4</v>
      </c>
      <c r="H213" s="2" t="s">
        <v>36</v>
      </c>
      <c r="I213" s="2" t="s">
        <v>23</v>
      </c>
      <c r="J213" s="3">
        <v>210</v>
      </c>
      <c r="K213" s="5">
        <v>1.02</v>
      </c>
      <c r="L213" s="4">
        <v>65.900000000000006</v>
      </c>
      <c r="M213" s="4">
        <v>2707.8</v>
      </c>
      <c r="N213" s="4">
        <v>31.8</v>
      </c>
      <c r="O213" s="4">
        <v>8</v>
      </c>
      <c r="P213" s="4">
        <v>1212.9000000000001</v>
      </c>
      <c r="Q213" s="5">
        <v>1.24</v>
      </c>
    </row>
    <row r="214" spans="1:17">
      <c r="A214" s="3">
        <v>212</v>
      </c>
      <c r="B214" s="2" t="s">
        <v>172</v>
      </c>
      <c r="C214" s="2" t="s">
        <v>24</v>
      </c>
      <c r="D214" s="2" t="s">
        <v>173</v>
      </c>
      <c r="E214" s="2" t="s">
        <v>21</v>
      </c>
      <c r="F214" s="4">
        <v>13.8</v>
      </c>
      <c r="G214" s="4">
        <v>3165</v>
      </c>
      <c r="H214" s="2" t="s">
        <v>39</v>
      </c>
      <c r="I214" s="2" t="s">
        <v>23</v>
      </c>
      <c r="J214" s="3">
        <v>600</v>
      </c>
      <c r="K214" s="5">
        <v>1.02</v>
      </c>
      <c r="L214" s="4">
        <v>58</v>
      </c>
      <c r="M214" s="4">
        <v>2685.1</v>
      </c>
      <c r="N214" s="4">
        <v>32</v>
      </c>
      <c r="O214" s="4">
        <v>8.3000000000000007</v>
      </c>
      <c r="P214" s="4">
        <v>3046.3</v>
      </c>
      <c r="Q214" s="5">
        <v>3.1</v>
      </c>
    </row>
    <row r="215" spans="1:17">
      <c r="A215" s="3">
        <v>213</v>
      </c>
      <c r="B215" s="2" t="s">
        <v>174</v>
      </c>
      <c r="C215" s="2" t="s">
        <v>51</v>
      </c>
      <c r="D215" s="2" t="s">
        <v>142</v>
      </c>
      <c r="E215" s="2" t="s">
        <v>35</v>
      </c>
      <c r="F215" s="4">
        <v>14.9</v>
      </c>
      <c r="G215" s="4">
        <v>3330</v>
      </c>
      <c r="H215" s="2" t="s">
        <v>39</v>
      </c>
      <c r="I215" s="2" t="s">
        <v>23</v>
      </c>
      <c r="J215" s="3">
        <v>250</v>
      </c>
      <c r="K215" s="5">
        <v>1.02</v>
      </c>
      <c r="L215" s="4">
        <v>59.5</v>
      </c>
      <c r="M215" s="4">
        <v>2672.7</v>
      </c>
      <c r="N215" s="4">
        <v>32.200000000000003</v>
      </c>
      <c r="O215" s="4">
        <v>8.9</v>
      </c>
      <c r="P215" s="4">
        <v>1303.8</v>
      </c>
      <c r="Q215" s="5">
        <v>1.33</v>
      </c>
    </row>
    <row r="216" spans="1:17">
      <c r="A216" s="3">
        <v>214</v>
      </c>
      <c r="B216" s="2" t="s">
        <v>161</v>
      </c>
      <c r="C216" s="2" t="s">
        <v>33</v>
      </c>
      <c r="D216" s="2" t="s">
        <v>162</v>
      </c>
      <c r="E216" s="2" t="s">
        <v>35</v>
      </c>
      <c r="F216" s="4">
        <v>45.4</v>
      </c>
      <c r="G216" s="4">
        <v>3465</v>
      </c>
      <c r="H216" s="2" t="s">
        <v>39</v>
      </c>
      <c r="I216" s="2" t="s">
        <v>23</v>
      </c>
      <c r="J216" s="3">
        <v>200</v>
      </c>
      <c r="K216" s="5">
        <v>1.02</v>
      </c>
      <c r="L216" s="4">
        <v>54.9</v>
      </c>
      <c r="M216" s="4">
        <v>2585.1999999999998</v>
      </c>
      <c r="N216" s="4">
        <v>33.299999999999997</v>
      </c>
      <c r="O216" s="4">
        <v>9.8000000000000007</v>
      </c>
      <c r="P216" s="4">
        <v>961</v>
      </c>
      <c r="Q216" s="5">
        <v>0.98</v>
      </c>
    </row>
    <row r="217" spans="1:17">
      <c r="A217" s="3">
        <v>215</v>
      </c>
      <c r="B217" s="2" t="s">
        <v>175</v>
      </c>
      <c r="C217" s="2" t="s">
        <v>78</v>
      </c>
      <c r="D217" s="2" t="s">
        <v>149</v>
      </c>
      <c r="E217" s="2" t="s">
        <v>35</v>
      </c>
      <c r="F217" s="4">
        <v>11.4</v>
      </c>
      <c r="G217" s="4">
        <v>3640</v>
      </c>
      <c r="H217" s="2" t="s">
        <v>36</v>
      </c>
      <c r="I217" s="2" t="s">
        <v>23</v>
      </c>
      <c r="J217" s="3">
        <v>500</v>
      </c>
      <c r="K217" s="5">
        <v>1.02</v>
      </c>
      <c r="L217" s="4">
        <v>84.8</v>
      </c>
      <c r="M217" s="4">
        <v>2687.6</v>
      </c>
      <c r="N217" s="4">
        <v>32</v>
      </c>
      <c r="O217" s="4">
        <v>5.0999999999999996</v>
      </c>
      <c r="P217" s="4">
        <v>3715</v>
      </c>
      <c r="Q217" s="5">
        <v>3.79</v>
      </c>
    </row>
    <row r="218" spans="1:17">
      <c r="A218" s="3">
        <v>216</v>
      </c>
      <c r="B218" s="2" t="s">
        <v>176</v>
      </c>
      <c r="C218" s="2" t="s">
        <v>24</v>
      </c>
      <c r="D218" s="2" t="s">
        <v>177</v>
      </c>
      <c r="E218" s="2" t="s">
        <v>21</v>
      </c>
      <c r="F218" s="4">
        <v>8.5</v>
      </c>
      <c r="G218" s="4">
        <v>3044</v>
      </c>
      <c r="H218" s="2" t="s">
        <v>39</v>
      </c>
      <c r="I218" s="2" t="s">
        <v>23</v>
      </c>
      <c r="J218" s="3">
        <v>360</v>
      </c>
      <c r="K218" s="5">
        <v>1.02</v>
      </c>
      <c r="L218" s="4">
        <v>44.7</v>
      </c>
      <c r="M218" s="4">
        <v>2691.4</v>
      </c>
      <c r="N218" s="4">
        <v>31.9</v>
      </c>
      <c r="O218" s="4">
        <v>10.1</v>
      </c>
      <c r="P218" s="4">
        <v>1408.4</v>
      </c>
      <c r="Q218" s="5">
        <v>1.44</v>
      </c>
    </row>
    <row r="219" spans="1:17">
      <c r="A219" s="3">
        <v>217</v>
      </c>
      <c r="B219" s="2" t="s">
        <v>176</v>
      </c>
      <c r="C219" s="2" t="s">
        <v>33</v>
      </c>
      <c r="D219" s="2" t="s">
        <v>177</v>
      </c>
      <c r="E219" s="2" t="s">
        <v>21</v>
      </c>
      <c r="F219" s="4">
        <v>5.4</v>
      </c>
      <c r="G219" s="4">
        <v>3044</v>
      </c>
      <c r="H219" s="2" t="s">
        <v>39</v>
      </c>
      <c r="I219" s="2" t="s">
        <v>23</v>
      </c>
      <c r="J219" s="3">
        <v>360</v>
      </c>
      <c r="K219" s="5">
        <v>1.02</v>
      </c>
      <c r="L219" s="4">
        <v>20.100000000000001</v>
      </c>
      <c r="M219" s="4">
        <v>2694.3</v>
      </c>
      <c r="N219" s="4">
        <v>31.9</v>
      </c>
      <c r="O219" s="4">
        <v>10.1</v>
      </c>
      <c r="P219" s="4">
        <v>633.9</v>
      </c>
      <c r="Q219" s="5">
        <v>0.65</v>
      </c>
    </row>
    <row r="220" spans="1:17">
      <c r="A220" s="3">
        <v>218</v>
      </c>
      <c r="B220" s="2" t="s">
        <v>174</v>
      </c>
      <c r="C220" s="2" t="s">
        <v>78</v>
      </c>
      <c r="D220" s="2" t="s">
        <v>142</v>
      </c>
      <c r="E220" s="2" t="s">
        <v>35</v>
      </c>
      <c r="F220" s="4">
        <v>21.1</v>
      </c>
      <c r="G220" s="4">
        <v>3305</v>
      </c>
      <c r="H220" s="2" t="s">
        <v>39</v>
      </c>
      <c r="I220" s="2" t="s">
        <v>23</v>
      </c>
      <c r="J220" s="3">
        <v>250</v>
      </c>
      <c r="K220" s="5">
        <v>1.02</v>
      </c>
      <c r="L220" s="4">
        <v>49.2</v>
      </c>
      <c r="M220" s="4">
        <v>2675.1</v>
      </c>
      <c r="N220" s="4">
        <v>32.1</v>
      </c>
      <c r="O220" s="4">
        <v>9.5</v>
      </c>
      <c r="P220" s="4">
        <v>1078.0999999999999</v>
      </c>
      <c r="Q220" s="5">
        <v>1.1100000000000001</v>
      </c>
    </row>
    <row r="221" spans="1:17">
      <c r="A221" s="3">
        <v>219</v>
      </c>
      <c r="B221" s="2" t="s">
        <v>50</v>
      </c>
      <c r="C221" s="2" t="s">
        <v>24</v>
      </c>
      <c r="D221" s="2" t="s">
        <v>52</v>
      </c>
      <c r="E221" s="2" t="s">
        <v>35</v>
      </c>
      <c r="F221" s="4">
        <v>37.6</v>
      </c>
      <c r="G221" s="4">
        <v>3216</v>
      </c>
      <c r="H221" s="2" t="s">
        <v>39</v>
      </c>
      <c r="I221" s="2" t="s">
        <v>23</v>
      </c>
      <c r="J221" s="3">
        <v>210</v>
      </c>
      <c r="K221" s="5">
        <v>1.03</v>
      </c>
      <c r="L221" s="4">
        <v>70</v>
      </c>
      <c r="M221" s="4">
        <v>2699</v>
      </c>
      <c r="N221" s="4">
        <v>31.9</v>
      </c>
      <c r="O221" s="4">
        <v>10.4</v>
      </c>
      <c r="P221" s="4">
        <v>1287.0999999999999</v>
      </c>
      <c r="Q221" s="5">
        <v>1.32</v>
      </c>
    </row>
    <row r="222" spans="1:17">
      <c r="A222" s="3">
        <v>220</v>
      </c>
      <c r="B222" s="2" t="s">
        <v>139</v>
      </c>
      <c r="C222" s="2" t="s">
        <v>19</v>
      </c>
      <c r="D222" s="2" t="s">
        <v>93</v>
      </c>
      <c r="E222" s="2" t="s">
        <v>35</v>
      </c>
      <c r="F222" s="4">
        <v>25.1</v>
      </c>
      <c r="G222" s="4">
        <v>4253</v>
      </c>
      <c r="H222" s="2" t="s">
        <v>29</v>
      </c>
      <c r="I222" s="2" t="s">
        <v>23</v>
      </c>
      <c r="J222" s="3">
        <v>210</v>
      </c>
      <c r="K222" s="5">
        <v>1.03</v>
      </c>
      <c r="L222" s="4">
        <v>88.7</v>
      </c>
      <c r="M222" s="4">
        <v>2702.4</v>
      </c>
      <c r="N222" s="4">
        <v>31.8</v>
      </c>
      <c r="O222" s="4">
        <v>8.5</v>
      </c>
      <c r="P222" s="4">
        <v>1632</v>
      </c>
      <c r="Q222" s="5">
        <v>1.67</v>
      </c>
    </row>
    <row r="223" spans="1:17">
      <c r="A223" s="3">
        <v>221</v>
      </c>
      <c r="B223" s="2" t="s">
        <v>178</v>
      </c>
      <c r="C223" s="2" t="s">
        <v>19</v>
      </c>
      <c r="D223" s="2" t="s">
        <v>144</v>
      </c>
      <c r="E223" s="2" t="s">
        <v>35</v>
      </c>
      <c r="F223" s="4">
        <v>37.6</v>
      </c>
      <c r="G223" s="4">
        <v>3063</v>
      </c>
      <c r="H223" s="2" t="s">
        <v>39</v>
      </c>
      <c r="I223" s="2" t="s">
        <v>23</v>
      </c>
      <c r="J223" s="3">
        <v>210</v>
      </c>
      <c r="K223" s="5">
        <v>1.03</v>
      </c>
      <c r="L223" s="4">
        <v>78.099999999999994</v>
      </c>
      <c r="M223" s="4">
        <v>2704.7</v>
      </c>
      <c r="N223" s="4">
        <v>31.8</v>
      </c>
      <c r="O223" s="4">
        <v>8.6</v>
      </c>
      <c r="P223" s="4">
        <v>1437.3</v>
      </c>
      <c r="Q223" s="5">
        <v>1.48</v>
      </c>
    </row>
    <row r="224" spans="1:17">
      <c r="A224" s="3">
        <v>222</v>
      </c>
      <c r="B224" s="2" t="s">
        <v>174</v>
      </c>
      <c r="C224" s="2" t="s">
        <v>33</v>
      </c>
      <c r="D224" s="2" t="s">
        <v>142</v>
      </c>
      <c r="E224" s="2" t="s">
        <v>35</v>
      </c>
      <c r="F224" s="4">
        <v>22.4</v>
      </c>
      <c r="G224" s="4">
        <v>3304</v>
      </c>
      <c r="H224" s="2" t="s">
        <v>39</v>
      </c>
      <c r="I224" s="2" t="s">
        <v>23</v>
      </c>
      <c r="J224" s="3">
        <v>250</v>
      </c>
      <c r="K224" s="5">
        <v>1.03</v>
      </c>
      <c r="L224" s="4">
        <v>53.7</v>
      </c>
      <c r="M224" s="4">
        <v>2690.7</v>
      </c>
      <c r="N224" s="4">
        <v>32</v>
      </c>
      <c r="O224" s="4">
        <v>9.1999999999999993</v>
      </c>
      <c r="P224" s="4">
        <v>1175</v>
      </c>
      <c r="Q224" s="5">
        <v>1.21</v>
      </c>
    </row>
    <row r="225" spans="1:17">
      <c r="A225" s="3">
        <v>223</v>
      </c>
      <c r="B225" s="2" t="s">
        <v>179</v>
      </c>
      <c r="C225" s="2" t="s">
        <v>24</v>
      </c>
      <c r="D225" s="2" t="s">
        <v>180</v>
      </c>
      <c r="E225" s="2" t="s">
        <v>21</v>
      </c>
      <c r="F225" s="4">
        <v>8.6</v>
      </c>
      <c r="G225" s="4">
        <v>3990</v>
      </c>
      <c r="H225" s="2" t="s">
        <v>36</v>
      </c>
      <c r="I225" s="2" t="s">
        <v>23</v>
      </c>
      <c r="J225" s="3">
        <v>600</v>
      </c>
      <c r="K225" s="5">
        <v>1.03</v>
      </c>
      <c r="L225" s="4">
        <v>39</v>
      </c>
      <c r="M225" s="4">
        <v>2871.6</v>
      </c>
      <c r="N225" s="4">
        <v>29.9</v>
      </c>
      <c r="O225" s="4">
        <v>6.9</v>
      </c>
      <c r="P225" s="4">
        <v>2048.1999999999998</v>
      </c>
      <c r="Q225" s="5">
        <v>2.11</v>
      </c>
    </row>
    <row r="226" spans="1:17">
      <c r="A226" s="3">
        <v>224</v>
      </c>
      <c r="B226" s="2" t="s">
        <v>50</v>
      </c>
      <c r="C226" s="2" t="s">
        <v>41</v>
      </c>
      <c r="D226" s="2" t="s">
        <v>52</v>
      </c>
      <c r="E226" s="2" t="s">
        <v>35</v>
      </c>
      <c r="F226" s="4">
        <v>35.299999999999997</v>
      </c>
      <c r="G226" s="4">
        <v>3216</v>
      </c>
      <c r="H226" s="2" t="s">
        <v>39</v>
      </c>
      <c r="I226" s="2" t="s">
        <v>23</v>
      </c>
      <c r="J226" s="3">
        <v>210</v>
      </c>
      <c r="K226" s="5">
        <v>1.03</v>
      </c>
      <c r="L226" s="4">
        <v>52</v>
      </c>
      <c r="M226" s="4">
        <v>2708.1</v>
      </c>
      <c r="N226" s="4">
        <v>31.8</v>
      </c>
      <c r="O226" s="4">
        <v>10.3</v>
      </c>
      <c r="P226" s="4">
        <v>957</v>
      </c>
      <c r="Q226" s="5">
        <v>0.98</v>
      </c>
    </row>
    <row r="227" spans="1:17">
      <c r="A227" s="3">
        <v>225</v>
      </c>
      <c r="B227" s="2" t="s">
        <v>169</v>
      </c>
      <c r="C227" s="2" t="s">
        <v>24</v>
      </c>
      <c r="D227" s="2" t="s">
        <v>170</v>
      </c>
      <c r="E227" s="2" t="s">
        <v>35</v>
      </c>
      <c r="F227" s="4">
        <v>9.6</v>
      </c>
      <c r="G227" s="4">
        <v>3331</v>
      </c>
      <c r="H227" s="2" t="s">
        <v>39</v>
      </c>
      <c r="I227" s="2" t="s">
        <v>23</v>
      </c>
      <c r="J227" s="3">
        <v>600</v>
      </c>
      <c r="K227" s="5">
        <v>1.03</v>
      </c>
      <c r="L227" s="4">
        <v>64.2</v>
      </c>
      <c r="M227" s="4">
        <v>2708.2</v>
      </c>
      <c r="N227" s="4">
        <v>31.7</v>
      </c>
      <c r="O227" s="4">
        <v>6</v>
      </c>
      <c r="P227" s="4">
        <v>3375</v>
      </c>
      <c r="Q227" s="5">
        <v>3.47</v>
      </c>
    </row>
    <row r="228" spans="1:17">
      <c r="A228" s="3">
        <v>226</v>
      </c>
      <c r="B228" s="2" t="s">
        <v>181</v>
      </c>
      <c r="C228" s="2" t="s">
        <v>33</v>
      </c>
      <c r="D228" s="2" t="s">
        <v>116</v>
      </c>
      <c r="E228" s="2" t="s">
        <v>47</v>
      </c>
      <c r="F228" s="4">
        <v>19.8</v>
      </c>
      <c r="G228" s="4">
        <v>3430.8</v>
      </c>
      <c r="H228" s="2" t="s">
        <v>39</v>
      </c>
      <c r="I228" s="2" t="s">
        <v>23</v>
      </c>
      <c r="J228" s="3">
        <v>210</v>
      </c>
      <c r="K228" s="5">
        <v>1.03</v>
      </c>
      <c r="L228" s="4">
        <v>68.7</v>
      </c>
      <c r="M228" s="4">
        <v>2705.7</v>
      </c>
      <c r="N228" s="4">
        <v>31.8</v>
      </c>
      <c r="O228" s="4">
        <v>11</v>
      </c>
      <c r="P228" s="4">
        <v>1263.3</v>
      </c>
      <c r="Q228" s="5">
        <v>1.3</v>
      </c>
    </row>
    <row r="229" spans="1:17">
      <c r="A229" s="3">
        <v>227</v>
      </c>
      <c r="B229" s="2" t="s">
        <v>94</v>
      </c>
      <c r="C229" s="2" t="s">
        <v>33</v>
      </c>
      <c r="D229" s="2" t="s">
        <v>46</v>
      </c>
      <c r="E229" s="2" t="s">
        <v>47</v>
      </c>
      <c r="F229" s="4">
        <v>30.4</v>
      </c>
      <c r="G229" s="4">
        <v>3783.4</v>
      </c>
      <c r="H229" s="2" t="s">
        <v>36</v>
      </c>
      <c r="I229" s="2" t="s">
        <v>23</v>
      </c>
      <c r="J229" s="3">
        <v>210</v>
      </c>
      <c r="K229" s="5">
        <v>1.03</v>
      </c>
      <c r="L229" s="4">
        <v>56.7</v>
      </c>
      <c r="M229" s="4">
        <v>2733.8</v>
      </c>
      <c r="N229" s="4">
        <v>31.5</v>
      </c>
      <c r="O229" s="4">
        <v>9</v>
      </c>
      <c r="P229" s="4">
        <v>1042.8</v>
      </c>
      <c r="Q229" s="5">
        <v>1.07</v>
      </c>
    </row>
    <row r="230" spans="1:17">
      <c r="A230" s="3">
        <v>228</v>
      </c>
      <c r="B230" s="2" t="s">
        <v>182</v>
      </c>
      <c r="C230" s="2" t="s">
        <v>41</v>
      </c>
      <c r="D230" s="2" t="s">
        <v>162</v>
      </c>
      <c r="E230" s="2" t="s">
        <v>35</v>
      </c>
      <c r="F230" s="4">
        <v>9.4</v>
      </c>
      <c r="G230" s="4">
        <v>5011</v>
      </c>
      <c r="H230" s="2" t="s">
        <v>22</v>
      </c>
      <c r="I230" s="2" t="s">
        <v>23</v>
      </c>
      <c r="J230" s="3">
        <v>250</v>
      </c>
      <c r="K230" s="5">
        <v>1.03</v>
      </c>
      <c r="L230" s="4">
        <v>35.5</v>
      </c>
      <c r="M230" s="4">
        <v>2866.2</v>
      </c>
      <c r="N230" s="4">
        <v>30</v>
      </c>
      <c r="O230" s="4">
        <v>10.4</v>
      </c>
      <c r="P230" s="4">
        <v>778</v>
      </c>
      <c r="Q230" s="5">
        <v>0.8</v>
      </c>
    </row>
    <row r="231" spans="1:17">
      <c r="A231" s="3">
        <v>229</v>
      </c>
      <c r="B231" s="2" t="s">
        <v>139</v>
      </c>
      <c r="C231" s="2" t="s">
        <v>24</v>
      </c>
      <c r="D231" s="2" t="s">
        <v>93</v>
      </c>
      <c r="E231" s="2" t="s">
        <v>35</v>
      </c>
      <c r="F231" s="4">
        <v>24.2</v>
      </c>
      <c r="G231" s="4">
        <v>4253</v>
      </c>
      <c r="H231" s="2" t="s">
        <v>29</v>
      </c>
      <c r="I231" s="2" t="s">
        <v>23</v>
      </c>
      <c r="J231" s="3">
        <v>210</v>
      </c>
      <c r="K231" s="5">
        <v>1.03</v>
      </c>
      <c r="L231" s="4">
        <v>89.4</v>
      </c>
      <c r="M231" s="4">
        <v>2714.7</v>
      </c>
      <c r="N231" s="4">
        <v>31.7</v>
      </c>
      <c r="O231" s="4">
        <v>8.5</v>
      </c>
      <c r="P231" s="4">
        <v>1645</v>
      </c>
      <c r="Q231" s="5">
        <v>1.69</v>
      </c>
    </row>
    <row r="232" spans="1:17">
      <c r="A232" s="3">
        <v>230</v>
      </c>
      <c r="B232" s="2" t="s">
        <v>181</v>
      </c>
      <c r="C232" s="2" t="s">
        <v>78</v>
      </c>
      <c r="D232" s="2" t="s">
        <v>116</v>
      </c>
      <c r="E232" s="2" t="s">
        <v>47</v>
      </c>
      <c r="F232" s="4">
        <v>17.399999999999999</v>
      </c>
      <c r="G232" s="4">
        <v>3552.1</v>
      </c>
      <c r="H232" s="2" t="s">
        <v>36</v>
      </c>
      <c r="I232" s="2" t="s">
        <v>23</v>
      </c>
      <c r="J232" s="3">
        <v>250</v>
      </c>
      <c r="K232" s="5">
        <v>1.03</v>
      </c>
      <c r="L232" s="4">
        <v>76.7</v>
      </c>
      <c r="M232" s="4">
        <v>2721.2</v>
      </c>
      <c r="N232" s="4">
        <v>31.6</v>
      </c>
      <c r="O232" s="4">
        <v>9.8000000000000007</v>
      </c>
      <c r="P232" s="4">
        <v>1678.7</v>
      </c>
      <c r="Q232" s="5">
        <v>1.73</v>
      </c>
    </row>
    <row r="233" spans="1:17">
      <c r="A233" s="3">
        <v>231</v>
      </c>
      <c r="B233" s="2" t="s">
        <v>171</v>
      </c>
      <c r="C233" s="2" t="s">
        <v>51</v>
      </c>
      <c r="D233" s="2" t="s">
        <v>52</v>
      </c>
      <c r="E233" s="2" t="s">
        <v>35</v>
      </c>
      <c r="F233" s="4">
        <v>11.4</v>
      </c>
      <c r="G233" s="4">
        <v>3401</v>
      </c>
      <c r="H233" s="2" t="s">
        <v>39</v>
      </c>
      <c r="I233" s="2" t="s">
        <v>23</v>
      </c>
      <c r="J233" s="3">
        <v>250</v>
      </c>
      <c r="K233" s="5">
        <v>1.03</v>
      </c>
      <c r="L233" s="4">
        <v>55.3</v>
      </c>
      <c r="M233" s="4">
        <v>2720.8</v>
      </c>
      <c r="N233" s="4">
        <v>31.6</v>
      </c>
      <c r="O233" s="4">
        <v>10.4</v>
      </c>
      <c r="P233" s="4">
        <v>1210</v>
      </c>
      <c r="Q233" s="5">
        <v>1.25</v>
      </c>
    </row>
    <row r="234" spans="1:17">
      <c r="A234" s="3">
        <v>232</v>
      </c>
      <c r="B234" s="2" t="s">
        <v>176</v>
      </c>
      <c r="C234" s="2" t="s">
        <v>19</v>
      </c>
      <c r="D234" s="2" t="s">
        <v>177</v>
      </c>
      <c r="E234" s="2" t="s">
        <v>21</v>
      </c>
      <c r="F234" s="4">
        <v>8.8000000000000007</v>
      </c>
      <c r="G234" s="4">
        <v>3044</v>
      </c>
      <c r="H234" s="2" t="s">
        <v>39</v>
      </c>
      <c r="I234" s="2" t="s">
        <v>23</v>
      </c>
      <c r="J234" s="3">
        <v>360</v>
      </c>
      <c r="K234" s="5">
        <v>1.03</v>
      </c>
      <c r="L234" s="4">
        <v>51.3</v>
      </c>
      <c r="M234" s="4">
        <v>2721.9</v>
      </c>
      <c r="N234" s="4">
        <v>31.6</v>
      </c>
      <c r="O234" s="4">
        <v>10.1</v>
      </c>
      <c r="P234" s="4">
        <v>1617.5</v>
      </c>
      <c r="Q234" s="5">
        <v>1.67</v>
      </c>
    </row>
    <row r="235" spans="1:17">
      <c r="A235" s="3">
        <v>233</v>
      </c>
      <c r="B235" s="2" t="s">
        <v>174</v>
      </c>
      <c r="C235" s="2" t="s">
        <v>19</v>
      </c>
      <c r="D235" s="2" t="s">
        <v>142</v>
      </c>
      <c r="E235" s="2" t="s">
        <v>35</v>
      </c>
      <c r="F235" s="4">
        <v>26.2</v>
      </c>
      <c r="G235" s="4">
        <v>3347</v>
      </c>
      <c r="H235" s="2" t="s">
        <v>39</v>
      </c>
      <c r="I235" s="2" t="s">
        <v>23</v>
      </c>
      <c r="J235" s="3">
        <v>250</v>
      </c>
      <c r="K235" s="5">
        <v>1.03</v>
      </c>
      <c r="L235" s="4">
        <v>30.5</v>
      </c>
      <c r="M235" s="4">
        <v>2711.7</v>
      </c>
      <c r="N235" s="4">
        <v>31.7</v>
      </c>
      <c r="O235" s="4">
        <v>10.4</v>
      </c>
      <c r="P235" s="4">
        <v>668</v>
      </c>
      <c r="Q235" s="5">
        <v>0.69</v>
      </c>
    </row>
    <row r="236" spans="1:17">
      <c r="A236" s="3">
        <v>234</v>
      </c>
      <c r="B236" s="2" t="s">
        <v>181</v>
      </c>
      <c r="C236" s="2" t="s">
        <v>24</v>
      </c>
      <c r="D236" s="2" t="s">
        <v>116</v>
      </c>
      <c r="E236" s="2" t="s">
        <v>47</v>
      </c>
      <c r="F236" s="4">
        <v>27.4</v>
      </c>
      <c r="G236" s="4">
        <v>3430.8</v>
      </c>
      <c r="H236" s="2" t="s">
        <v>39</v>
      </c>
      <c r="I236" s="2" t="s">
        <v>23</v>
      </c>
      <c r="J236" s="3">
        <v>210</v>
      </c>
      <c r="K236" s="5">
        <v>1.04</v>
      </c>
      <c r="L236" s="4">
        <v>53.1</v>
      </c>
      <c r="M236" s="4">
        <v>2717.3</v>
      </c>
      <c r="N236" s="4">
        <v>31.6</v>
      </c>
      <c r="O236" s="4">
        <v>11.4</v>
      </c>
      <c r="P236" s="4">
        <v>977.5</v>
      </c>
      <c r="Q236" s="5">
        <v>1.01</v>
      </c>
    </row>
    <row r="237" spans="1:17">
      <c r="A237" s="3">
        <v>235</v>
      </c>
      <c r="B237" s="2" t="s">
        <v>183</v>
      </c>
      <c r="C237" s="2" t="s">
        <v>41</v>
      </c>
      <c r="D237" s="2" t="s">
        <v>34</v>
      </c>
      <c r="E237" s="2" t="s">
        <v>35</v>
      </c>
      <c r="F237" s="4">
        <v>3.4</v>
      </c>
      <c r="G237" s="4">
        <v>3450</v>
      </c>
      <c r="H237" s="2" t="s">
        <v>39</v>
      </c>
      <c r="I237" s="2" t="s">
        <v>23</v>
      </c>
      <c r="J237" s="3">
        <v>270</v>
      </c>
      <c r="K237" s="5">
        <v>1.04</v>
      </c>
      <c r="L237" s="4">
        <v>47.9</v>
      </c>
      <c r="M237" s="4">
        <v>2696.1</v>
      </c>
      <c r="N237" s="4">
        <v>31.9</v>
      </c>
      <c r="O237" s="4">
        <v>9.1</v>
      </c>
      <c r="P237" s="4">
        <v>1133.5</v>
      </c>
      <c r="Q237" s="5">
        <v>1.18</v>
      </c>
    </row>
    <row r="238" spans="1:17">
      <c r="A238" s="3">
        <v>236</v>
      </c>
      <c r="B238" s="2" t="s">
        <v>183</v>
      </c>
      <c r="C238" s="2" t="s">
        <v>33</v>
      </c>
      <c r="D238" s="2" t="s">
        <v>34</v>
      </c>
      <c r="E238" s="2" t="s">
        <v>35</v>
      </c>
      <c r="F238" s="4">
        <v>2.6</v>
      </c>
      <c r="G238" s="4">
        <v>3450</v>
      </c>
      <c r="H238" s="2" t="s">
        <v>39</v>
      </c>
      <c r="I238" s="2" t="s">
        <v>23</v>
      </c>
      <c r="J238" s="3">
        <v>270</v>
      </c>
      <c r="K238" s="5">
        <v>1.04</v>
      </c>
      <c r="L238" s="4">
        <v>49</v>
      </c>
      <c r="M238" s="4">
        <v>2696.1</v>
      </c>
      <c r="N238" s="4">
        <v>31.9</v>
      </c>
      <c r="O238" s="4">
        <v>9.1</v>
      </c>
      <c r="P238" s="4">
        <v>1159.5999999999999</v>
      </c>
      <c r="Q238" s="5">
        <v>1.2</v>
      </c>
    </row>
    <row r="239" spans="1:17">
      <c r="A239" s="3">
        <v>237</v>
      </c>
      <c r="B239" s="2" t="s">
        <v>183</v>
      </c>
      <c r="C239" s="2" t="s">
        <v>19</v>
      </c>
      <c r="D239" s="2" t="s">
        <v>34</v>
      </c>
      <c r="E239" s="2" t="s">
        <v>35</v>
      </c>
      <c r="F239" s="4">
        <v>4.2</v>
      </c>
      <c r="G239" s="4">
        <v>3450</v>
      </c>
      <c r="H239" s="2" t="s">
        <v>39</v>
      </c>
      <c r="I239" s="2" t="s">
        <v>23</v>
      </c>
      <c r="J239" s="3">
        <v>270</v>
      </c>
      <c r="K239" s="5">
        <v>1.04</v>
      </c>
      <c r="L239" s="4">
        <v>91.1</v>
      </c>
      <c r="M239" s="4">
        <v>2696.1</v>
      </c>
      <c r="N239" s="4">
        <v>31.9</v>
      </c>
      <c r="O239" s="4">
        <v>9.1</v>
      </c>
      <c r="P239" s="4">
        <v>2155</v>
      </c>
      <c r="Q239" s="5">
        <v>2.23</v>
      </c>
    </row>
    <row r="240" spans="1:17">
      <c r="A240" s="3">
        <v>238</v>
      </c>
      <c r="B240" s="2" t="s">
        <v>183</v>
      </c>
      <c r="C240" s="2" t="s">
        <v>24</v>
      </c>
      <c r="D240" s="2" t="s">
        <v>34</v>
      </c>
      <c r="E240" s="2" t="s">
        <v>35</v>
      </c>
      <c r="F240" s="4">
        <v>3.7</v>
      </c>
      <c r="G240" s="4">
        <v>3450</v>
      </c>
      <c r="H240" s="2" t="s">
        <v>39</v>
      </c>
      <c r="I240" s="2" t="s">
        <v>23</v>
      </c>
      <c r="J240" s="3">
        <v>270</v>
      </c>
      <c r="K240" s="5">
        <v>1.04</v>
      </c>
      <c r="L240" s="4">
        <v>50.1</v>
      </c>
      <c r="M240" s="4">
        <v>2696.1</v>
      </c>
      <c r="N240" s="4">
        <v>31.9</v>
      </c>
      <c r="O240" s="4">
        <v>9.1</v>
      </c>
      <c r="P240" s="4">
        <v>1185.5999999999999</v>
      </c>
      <c r="Q240" s="5">
        <v>1.23</v>
      </c>
    </row>
    <row r="241" spans="1:17">
      <c r="A241" s="3">
        <v>239</v>
      </c>
      <c r="B241" s="2" t="s">
        <v>141</v>
      </c>
      <c r="C241" s="2" t="s">
        <v>41</v>
      </c>
      <c r="D241" s="2" t="s">
        <v>142</v>
      </c>
      <c r="E241" s="2" t="s">
        <v>35</v>
      </c>
      <c r="F241" s="4">
        <v>35.9</v>
      </c>
      <c r="G241" s="4">
        <v>3481.4</v>
      </c>
      <c r="H241" s="2" t="s">
        <v>39</v>
      </c>
      <c r="I241" s="2" t="s">
        <v>23</v>
      </c>
      <c r="J241" s="3">
        <v>210</v>
      </c>
      <c r="K241" s="5">
        <v>1.04</v>
      </c>
      <c r="L241" s="4">
        <v>28.6</v>
      </c>
      <c r="M241" s="4">
        <v>2729.3</v>
      </c>
      <c r="N241" s="4">
        <v>31.5</v>
      </c>
      <c r="O241" s="4">
        <v>13</v>
      </c>
      <c r="P241" s="4">
        <v>526.79999999999995</v>
      </c>
      <c r="Q241" s="5">
        <v>0.55000000000000004</v>
      </c>
    </row>
    <row r="242" spans="1:17">
      <c r="A242" s="3">
        <v>240</v>
      </c>
      <c r="B242" s="2" t="s">
        <v>184</v>
      </c>
      <c r="C242" s="2" t="s">
        <v>19</v>
      </c>
      <c r="D242" s="2" t="s">
        <v>185</v>
      </c>
      <c r="E242" s="2" t="s">
        <v>21</v>
      </c>
      <c r="F242" s="4">
        <v>8</v>
      </c>
      <c r="G242" s="4">
        <v>3097</v>
      </c>
      <c r="H242" s="2" t="s">
        <v>39</v>
      </c>
      <c r="I242" s="2" t="s">
        <v>23</v>
      </c>
      <c r="J242" s="3">
        <v>300</v>
      </c>
      <c r="K242" s="5">
        <v>1.04</v>
      </c>
      <c r="L242" s="4">
        <v>53.3</v>
      </c>
      <c r="M242" s="4">
        <v>2731.6</v>
      </c>
      <c r="N242" s="4">
        <v>31.5</v>
      </c>
      <c r="O242" s="4">
        <v>9.5</v>
      </c>
      <c r="P242" s="4">
        <v>1401.1</v>
      </c>
      <c r="Q242" s="5">
        <v>1.45</v>
      </c>
    </row>
    <row r="243" spans="1:17">
      <c r="A243" s="3">
        <v>241</v>
      </c>
      <c r="B243" s="2" t="s">
        <v>171</v>
      </c>
      <c r="C243" s="2" t="s">
        <v>33</v>
      </c>
      <c r="D243" s="2" t="s">
        <v>52</v>
      </c>
      <c r="E243" s="2" t="s">
        <v>35</v>
      </c>
      <c r="F243" s="4">
        <v>17.600000000000001</v>
      </c>
      <c r="G243" s="4">
        <v>3401</v>
      </c>
      <c r="H243" s="2" t="s">
        <v>39</v>
      </c>
      <c r="I243" s="2" t="s">
        <v>23</v>
      </c>
      <c r="J243" s="3">
        <v>210</v>
      </c>
      <c r="K243" s="5">
        <v>1.04</v>
      </c>
      <c r="L243" s="4">
        <v>50.1</v>
      </c>
      <c r="M243" s="4">
        <v>2729.7</v>
      </c>
      <c r="N243" s="4">
        <v>31.5</v>
      </c>
      <c r="O243" s="4">
        <v>10.3</v>
      </c>
      <c r="P243" s="4">
        <v>922</v>
      </c>
      <c r="Q243" s="5">
        <v>0.96</v>
      </c>
    </row>
    <row r="244" spans="1:17">
      <c r="A244" s="3">
        <v>242</v>
      </c>
      <c r="B244" s="2" t="s">
        <v>186</v>
      </c>
      <c r="C244" s="2" t="s">
        <v>19</v>
      </c>
      <c r="D244" s="2" t="s">
        <v>187</v>
      </c>
      <c r="E244" s="2" t="s">
        <v>47</v>
      </c>
      <c r="F244" s="4">
        <v>9.4</v>
      </c>
      <c r="G244" s="4">
        <v>3596.7</v>
      </c>
      <c r="H244" s="2" t="s">
        <v>36</v>
      </c>
      <c r="I244" s="2" t="s">
        <v>23</v>
      </c>
      <c r="J244" s="3">
        <v>500</v>
      </c>
      <c r="K244" s="5">
        <v>1.04</v>
      </c>
      <c r="L244" s="4">
        <v>59.8</v>
      </c>
      <c r="M244" s="4">
        <v>2775</v>
      </c>
      <c r="N244" s="4">
        <v>31</v>
      </c>
      <c r="O244" s="4">
        <v>6.8</v>
      </c>
      <c r="P244" s="4">
        <v>2618.6999999999998</v>
      </c>
      <c r="Q244" s="5">
        <v>2.72</v>
      </c>
    </row>
    <row r="245" spans="1:17">
      <c r="A245" s="3">
        <v>243</v>
      </c>
      <c r="B245" s="2" t="s">
        <v>186</v>
      </c>
      <c r="C245" s="2" t="s">
        <v>24</v>
      </c>
      <c r="D245" s="2" t="s">
        <v>187</v>
      </c>
      <c r="E245" s="2" t="s">
        <v>47</v>
      </c>
      <c r="F245" s="4">
        <v>9.1</v>
      </c>
      <c r="G245" s="4">
        <v>3596.7</v>
      </c>
      <c r="H245" s="2" t="s">
        <v>36</v>
      </c>
      <c r="I245" s="2" t="s">
        <v>23</v>
      </c>
      <c r="J245" s="3">
        <v>500</v>
      </c>
      <c r="K245" s="5">
        <v>1.04</v>
      </c>
      <c r="L245" s="4">
        <v>66.3</v>
      </c>
      <c r="M245" s="4">
        <v>2775</v>
      </c>
      <c r="N245" s="4">
        <v>31</v>
      </c>
      <c r="O245" s="4">
        <v>6.8</v>
      </c>
      <c r="P245" s="4">
        <v>2905.3</v>
      </c>
      <c r="Q245" s="5">
        <v>3.02</v>
      </c>
    </row>
    <row r="246" spans="1:17">
      <c r="A246" s="3">
        <v>244</v>
      </c>
      <c r="B246" s="2" t="s">
        <v>188</v>
      </c>
      <c r="C246" s="2" t="s">
        <v>41</v>
      </c>
      <c r="D246" s="2" t="s">
        <v>58</v>
      </c>
      <c r="E246" s="2" t="s">
        <v>35</v>
      </c>
      <c r="F246" s="4">
        <v>14.4</v>
      </c>
      <c r="G246" s="4">
        <v>3154</v>
      </c>
      <c r="H246" s="2" t="s">
        <v>39</v>
      </c>
      <c r="I246" s="2" t="s">
        <v>23</v>
      </c>
      <c r="J246" s="3">
        <v>250</v>
      </c>
      <c r="K246" s="5">
        <v>1.04</v>
      </c>
      <c r="L246" s="4">
        <v>58.3</v>
      </c>
      <c r="M246" s="4">
        <v>2722.5</v>
      </c>
      <c r="N246" s="4">
        <v>31.6</v>
      </c>
      <c r="O246" s="4">
        <v>11.1</v>
      </c>
      <c r="P246" s="4">
        <v>1277.8</v>
      </c>
      <c r="Q246" s="5">
        <v>1.33</v>
      </c>
    </row>
    <row r="247" spans="1:17">
      <c r="A247" s="3">
        <v>245</v>
      </c>
      <c r="B247" s="2" t="s">
        <v>53</v>
      </c>
      <c r="C247" s="2" t="s">
        <v>24</v>
      </c>
      <c r="D247" s="2" t="s">
        <v>46</v>
      </c>
      <c r="E247" s="2" t="s">
        <v>47</v>
      </c>
      <c r="F247" s="4">
        <v>40.200000000000003</v>
      </c>
      <c r="G247" s="4">
        <v>3540.8</v>
      </c>
      <c r="H247" s="2" t="s">
        <v>36</v>
      </c>
      <c r="I247" s="2" t="s">
        <v>23</v>
      </c>
      <c r="J247" s="3">
        <v>200</v>
      </c>
      <c r="K247" s="5">
        <v>1.04</v>
      </c>
      <c r="L247" s="4">
        <v>44.4</v>
      </c>
      <c r="M247" s="4">
        <v>2720.8</v>
      </c>
      <c r="N247" s="4">
        <v>31.6</v>
      </c>
      <c r="O247" s="4">
        <v>11.2</v>
      </c>
      <c r="P247" s="4">
        <v>778.6</v>
      </c>
      <c r="Q247" s="5">
        <v>0.81</v>
      </c>
    </row>
    <row r="248" spans="1:17">
      <c r="A248" s="3">
        <v>246</v>
      </c>
      <c r="B248" s="2" t="s">
        <v>181</v>
      </c>
      <c r="C248" s="2" t="s">
        <v>41</v>
      </c>
      <c r="D248" s="2" t="s">
        <v>116</v>
      </c>
      <c r="E248" s="2" t="s">
        <v>47</v>
      </c>
      <c r="F248" s="4">
        <v>26.4</v>
      </c>
      <c r="G248" s="4">
        <v>3430.8</v>
      </c>
      <c r="H248" s="2" t="s">
        <v>39</v>
      </c>
      <c r="I248" s="2" t="s">
        <v>23</v>
      </c>
      <c r="J248" s="3">
        <v>210</v>
      </c>
      <c r="K248" s="5">
        <v>1.04</v>
      </c>
      <c r="L248" s="4">
        <v>60.4</v>
      </c>
      <c r="M248" s="4">
        <v>2715.6</v>
      </c>
      <c r="N248" s="4">
        <v>31.7</v>
      </c>
      <c r="O248" s="4">
        <v>11.3</v>
      </c>
      <c r="P248" s="4">
        <v>1110.7</v>
      </c>
      <c r="Q248" s="5">
        <v>1.1499999999999999</v>
      </c>
    </row>
    <row r="249" spans="1:17">
      <c r="A249" s="3">
        <v>247</v>
      </c>
      <c r="B249" s="2" t="s">
        <v>178</v>
      </c>
      <c r="C249" s="2" t="s">
        <v>41</v>
      </c>
      <c r="D249" s="2" t="s">
        <v>144</v>
      </c>
      <c r="E249" s="2" t="s">
        <v>35</v>
      </c>
      <c r="F249" s="4">
        <v>35.4</v>
      </c>
      <c r="G249" s="4">
        <v>3035</v>
      </c>
      <c r="H249" s="2" t="s">
        <v>39</v>
      </c>
      <c r="I249" s="2" t="s">
        <v>23</v>
      </c>
      <c r="J249" s="3">
        <v>210</v>
      </c>
      <c r="K249" s="5">
        <v>1.04</v>
      </c>
      <c r="L249" s="4">
        <v>58.5</v>
      </c>
      <c r="M249" s="4">
        <v>2731.4</v>
      </c>
      <c r="N249" s="4">
        <v>31.5</v>
      </c>
      <c r="O249" s="4">
        <v>8.6999999999999993</v>
      </c>
      <c r="P249" s="4">
        <v>1076.4000000000001</v>
      </c>
      <c r="Q249" s="5">
        <v>1.1200000000000001</v>
      </c>
    </row>
    <row r="250" spans="1:17">
      <c r="A250" s="3">
        <v>248</v>
      </c>
      <c r="B250" s="2" t="s">
        <v>189</v>
      </c>
      <c r="C250" s="2" t="s">
        <v>24</v>
      </c>
      <c r="D250" s="2" t="s">
        <v>144</v>
      </c>
      <c r="E250" s="2" t="s">
        <v>35</v>
      </c>
      <c r="F250" s="4">
        <v>10.9</v>
      </c>
      <c r="G250" s="4">
        <v>3065.2</v>
      </c>
      <c r="H250" s="2" t="s">
        <v>39</v>
      </c>
      <c r="I250" s="2" t="s">
        <v>23</v>
      </c>
      <c r="J250" s="3">
        <v>600</v>
      </c>
      <c r="K250" s="5">
        <v>1.04</v>
      </c>
      <c r="L250" s="4">
        <v>56.5</v>
      </c>
      <c r="M250" s="4">
        <v>2752</v>
      </c>
      <c r="N250" s="4">
        <v>31.2</v>
      </c>
      <c r="O250" s="4">
        <v>7.4</v>
      </c>
      <c r="P250" s="4">
        <v>2970</v>
      </c>
      <c r="Q250" s="5">
        <v>3.09</v>
      </c>
    </row>
    <row r="251" spans="1:17">
      <c r="A251" s="3">
        <v>249</v>
      </c>
      <c r="B251" s="2" t="s">
        <v>181</v>
      </c>
      <c r="C251" s="2" t="s">
        <v>19</v>
      </c>
      <c r="D251" s="2" t="s">
        <v>116</v>
      </c>
      <c r="E251" s="2" t="s">
        <v>47</v>
      </c>
      <c r="F251" s="4">
        <v>28.6</v>
      </c>
      <c r="G251" s="4">
        <v>3430.8</v>
      </c>
      <c r="H251" s="2" t="s">
        <v>39</v>
      </c>
      <c r="I251" s="2" t="s">
        <v>23</v>
      </c>
      <c r="J251" s="3">
        <v>210</v>
      </c>
      <c r="K251" s="5">
        <v>1.04</v>
      </c>
      <c r="L251" s="4">
        <v>56.3</v>
      </c>
      <c r="M251" s="4">
        <v>2719.3</v>
      </c>
      <c r="N251" s="4">
        <v>31.6</v>
      </c>
      <c r="O251" s="4">
        <v>11.4</v>
      </c>
      <c r="P251" s="4">
        <v>1035.5999999999999</v>
      </c>
      <c r="Q251" s="5">
        <v>1.08</v>
      </c>
    </row>
    <row r="252" spans="1:17">
      <c r="A252" s="3">
        <v>250</v>
      </c>
      <c r="B252" s="2" t="s">
        <v>178</v>
      </c>
      <c r="C252" s="2" t="s">
        <v>24</v>
      </c>
      <c r="D252" s="2" t="s">
        <v>144</v>
      </c>
      <c r="E252" s="2" t="s">
        <v>35</v>
      </c>
      <c r="F252" s="4">
        <v>36.700000000000003</v>
      </c>
      <c r="G252" s="4">
        <v>3032</v>
      </c>
      <c r="H252" s="2" t="s">
        <v>39</v>
      </c>
      <c r="I252" s="2" t="s">
        <v>23</v>
      </c>
      <c r="J252" s="3">
        <v>210</v>
      </c>
      <c r="K252" s="5">
        <v>1.04</v>
      </c>
      <c r="L252" s="4">
        <v>67.900000000000006</v>
      </c>
      <c r="M252" s="4">
        <v>2735.1</v>
      </c>
      <c r="N252" s="4">
        <v>31.4</v>
      </c>
      <c r="O252" s="4">
        <v>8.8000000000000007</v>
      </c>
      <c r="P252" s="4">
        <v>1249.8</v>
      </c>
      <c r="Q252" s="5">
        <v>1.3</v>
      </c>
    </row>
    <row r="253" spans="1:17">
      <c r="A253" s="3">
        <v>251</v>
      </c>
      <c r="B253" s="2" t="s">
        <v>181</v>
      </c>
      <c r="C253" s="2" t="s">
        <v>51</v>
      </c>
      <c r="D253" s="2" t="s">
        <v>116</v>
      </c>
      <c r="E253" s="2" t="s">
        <v>47</v>
      </c>
      <c r="F253" s="4">
        <v>16.8</v>
      </c>
      <c r="G253" s="4">
        <v>3552.1</v>
      </c>
      <c r="H253" s="2" t="s">
        <v>36</v>
      </c>
      <c r="I253" s="2" t="s">
        <v>23</v>
      </c>
      <c r="J253" s="3">
        <v>250</v>
      </c>
      <c r="K253" s="5">
        <v>1.04</v>
      </c>
      <c r="L253" s="4">
        <v>65.3</v>
      </c>
      <c r="M253" s="4">
        <v>2747</v>
      </c>
      <c r="N253" s="4">
        <v>31.3</v>
      </c>
      <c r="O253" s="4">
        <v>10.6</v>
      </c>
      <c r="P253" s="4">
        <v>1429.8</v>
      </c>
      <c r="Q253" s="5">
        <v>1.49</v>
      </c>
    </row>
    <row r="254" spans="1:17">
      <c r="A254" s="3">
        <v>252</v>
      </c>
      <c r="B254" s="2" t="s">
        <v>190</v>
      </c>
      <c r="C254" s="2" t="s">
        <v>24</v>
      </c>
      <c r="D254" s="2" t="s">
        <v>191</v>
      </c>
      <c r="E254" s="2" t="s">
        <v>21</v>
      </c>
      <c r="F254" s="4">
        <v>14.4</v>
      </c>
      <c r="G254" s="4">
        <v>3395.6</v>
      </c>
      <c r="H254" s="2" t="s">
        <v>39</v>
      </c>
      <c r="I254" s="2" t="s">
        <v>23</v>
      </c>
      <c r="J254" s="3">
        <v>300</v>
      </c>
      <c r="K254" s="5">
        <v>1.04</v>
      </c>
      <c r="L254" s="4">
        <v>57.6</v>
      </c>
      <c r="M254" s="4">
        <v>2755</v>
      </c>
      <c r="N254" s="4">
        <v>31.2</v>
      </c>
      <c r="O254" s="4">
        <v>8.6</v>
      </c>
      <c r="P254" s="4">
        <v>1513.4</v>
      </c>
      <c r="Q254" s="5">
        <v>1.58</v>
      </c>
    </row>
    <row r="255" spans="1:17">
      <c r="A255" s="3">
        <v>253</v>
      </c>
      <c r="B255" s="2" t="s">
        <v>188</v>
      </c>
      <c r="C255" s="2" t="s">
        <v>24</v>
      </c>
      <c r="D255" s="2" t="s">
        <v>58</v>
      </c>
      <c r="E255" s="2" t="s">
        <v>35</v>
      </c>
      <c r="F255" s="4">
        <v>16.399999999999999</v>
      </c>
      <c r="G255" s="4">
        <v>3126</v>
      </c>
      <c r="H255" s="2" t="s">
        <v>39</v>
      </c>
      <c r="I255" s="2" t="s">
        <v>23</v>
      </c>
      <c r="J255" s="3">
        <v>250</v>
      </c>
      <c r="K255" s="5">
        <v>1.04</v>
      </c>
      <c r="L255" s="4">
        <v>66.400000000000006</v>
      </c>
      <c r="M255" s="4">
        <v>2736.8</v>
      </c>
      <c r="N255" s="4">
        <v>31.4</v>
      </c>
      <c r="O255" s="4">
        <v>10.9</v>
      </c>
      <c r="P255" s="4">
        <v>1454.9</v>
      </c>
      <c r="Q255" s="5">
        <v>1.52</v>
      </c>
    </row>
    <row r="256" spans="1:17">
      <c r="A256" s="3">
        <v>254</v>
      </c>
      <c r="B256" s="2" t="s">
        <v>192</v>
      </c>
      <c r="C256" s="2" t="s">
        <v>57</v>
      </c>
      <c r="D256" s="2" t="s">
        <v>52</v>
      </c>
      <c r="E256" s="2" t="s">
        <v>35</v>
      </c>
      <c r="F256" s="4">
        <v>12.9</v>
      </c>
      <c r="G256" s="4">
        <v>3483</v>
      </c>
      <c r="H256" s="2" t="s">
        <v>39</v>
      </c>
      <c r="I256" s="2" t="s">
        <v>23</v>
      </c>
      <c r="J256" s="3">
        <v>250</v>
      </c>
      <c r="K256" s="5">
        <v>1.04</v>
      </c>
      <c r="L256" s="4">
        <v>51.7</v>
      </c>
      <c r="M256" s="4">
        <v>2750.7</v>
      </c>
      <c r="N256" s="4">
        <v>31.3</v>
      </c>
      <c r="O256" s="4">
        <v>8.9</v>
      </c>
      <c r="P256" s="4">
        <v>1132</v>
      </c>
      <c r="Q256" s="5">
        <v>1.18</v>
      </c>
    </row>
    <row r="257" spans="1:17">
      <c r="A257" s="3">
        <v>255</v>
      </c>
      <c r="B257" s="2" t="s">
        <v>171</v>
      </c>
      <c r="C257" s="2" t="s">
        <v>41</v>
      </c>
      <c r="D257" s="2" t="s">
        <v>52</v>
      </c>
      <c r="E257" s="2" t="s">
        <v>35</v>
      </c>
      <c r="F257" s="4">
        <v>18.399999999999999</v>
      </c>
      <c r="G257" s="4">
        <v>3401</v>
      </c>
      <c r="H257" s="2" t="s">
        <v>39</v>
      </c>
      <c r="I257" s="2" t="s">
        <v>23</v>
      </c>
      <c r="J257" s="3">
        <v>210</v>
      </c>
      <c r="K257" s="5">
        <v>1.05</v>
      </c>
      <c r="L257" s="4">
        <v>63.8</v>
      </c>
      <c r="M257" s="4">
        <v>2757.3</v>
      </c>
      <c r="N257" s="4">
        <v>31.2</v>
      </c>
      <c r="O257" s="4">
        <v>11.2</v>
      </c>
      <c r="P257" s="4">
        <v>1173</v>
      </c>
      <c r="Q257" s="5">
        <v>1.23</v>
      </c>
    </row>
    <row r="258" spans="1:17">
      <c r="A258" s="3">
        <v>256</v>
      </c>
      <c r="B258" s="2" t="s">
        <v>193</v>
      </c>
      <c r="C258" s="2" t="s">
        <v>24</v>
      </c>
      <c r="D258" s="2" t="s">
        <v>194</v>
      </c>
      <c r="E258" s="2" t="s">
        <v>21</v>
      </c>
      <c r="F258" s="4">
        <v>5.8</v>
      </c>
      <c r="G258" s="4">
        <v>3622.2</v>
      </c>
      <c r="H258" s="2" t="s">
        <v>36</v>
      </c>
      <c r="I258" s="2" t="s">
        <v>23</v>
      </c>
      <c r="J258" s="3">
        <v>600</v>
      </c>
      <c r="K258" s="5">
        <v>1.05</v>
      </c>
      <c r="L258" s="4">
        <v>34.700000000000003</v>
      </c>
      <c r="M258" s="4">
        <v>2765.4</v>
      </c>
      <c r="N258" s="4">
        <v>31.1</v>
      </c>
      <c r="O258" s="4">
        <v>7.8</v>
      </c>
      <c r="P258" s="4">
        <v>1825.4</v>
      </c>
      <c r="Q258" s="5">
        <v>1.91</v>
      </c>
    </row>
    <row r="259" spans="1:17">
      <c r="A259" s="3">
        <v>257</v>
      </c>
      <c r="B259" s="2" t="s">
        <v>195</v>
      </c>
      <c r="C259" s="2" t="s">
        <v>24</v>
      </c>
      <c r="D259" s="2" t="s">
        <v>196</v>
      </c>
      <c r="E259" s="2" t="s">
        <v>21</v>
      </c>
      <c r="F259" s="4">
        <v>11.4</v>
      </c>
      <c r="G259" s="4">
        <v>3592</v>
      </c>
      <c r="H259" s="2" t="s">
        <v>36</v>
      </c>
      <c r="I259" s="2" t="s">
        <v>23</v>
      </c>
      <c r="J259" s="3">
        <v>250</v>
      </c>
      <c r="K259" s="5">
        <v>1.05</v>
      </c>
      <c r="L259" s="4">
        <v>56.3</v>
      </c>
      <c r="M259" s="4">
        <v>2756.6</v>
      </c>
      <c r="N259" s="4">
        <v>31.2</v>
      </c>
      <c r="O259" s="4">
        <v>8.4</v>
      </c>
      <c r="P259" s="4">
        <v>1234</v>
      </c>
      <c r="Q259" s="5">
        <v>1.29</v>
      </c>
    </row>
    <row r="260" spans="1:17">
      <c r="A260" s="3">
        <v>258</v>
      </c>
      <c r="B260" s="2" t="s">
        <v>197</v>
      </c>
      <c r="C260" s="2" t="s">
        <v>24</v>
      </c>
      <c r="D260" s="2" t="s">
        <v>198</v>
      </c>
      <c r="E260" s="2" t="s">
        <v>21</v>
      </c>
      <c r="F260" s="4">
        <v>7.3</v>
      </c>
      <c r="G260" s="4">
        <v>3297</v>
      </c>
      <c r="H260" s="2" t="s">
        <v>39</v>
      </c>
      <c r="I260" s="2" t="s">
        <v>23</v>
      </c>
      <c r="J260" s="3">
        <v>300</v>
      </c>
      <c r="K260" s="5">
        <v>1.05</v>
      </c>
      <c r="L260" s="4">
        <v>36</v>
      </c>
      <c r="M260" s="4">
        <v>2762.7</v>
      </c>
      <c r="N260" s="4">
        <v>31.1</v>
      </c>
      <c r="O260" s="4">
        <v>10.7</v>
      </c>
      <c r="P260" s="4">
        <v>946.1</v>
      </c>
      <c r="Q260" s="5">
        <v>0.99</v>
      </c>
    </row>
    <row r="261" spans="1:17">
      <c r="A261" s="3">
        <v>259</v>
      </c>
      <c r="B261" s="2" t="s">
        <v>178</v>
      </c>
      <c r="C261" s="2" t="s">
        <v>33</v>
      </c>
      <c r="D261" s="2" t="s">
        <v>144</v>
      </c>
      <c r="E261" s="2" t="s">
        <v>35</v>
      </c>
      <c r="F261" s="4">
        <v>34.5</v>
      </c>
      <c r="G261" s="4">
        <v>3031</v>
      </c>
      <c r="H261" s="2" t="s">
        <v>39</v>
      </c>
      <c r="I261" s="2" t="s">
        <v>23</v>
      </c>
      <c r="J261" s="3">
        <v>210</v>
      </c>
      <c r="K261" s="5">
        <v>1.05</v>
      </c>
      <c r="L261" s="4">
        <v>62.9</v>
      </c>
      <c r="M261" s="4">
        <v>2754.7</v>
      </c>
      <c r="N261" s="4">
        <v>31.2</v>
      </c>
      <c r="O261" s="4">
        <v>9.1</v>
      </c>
      <c r="P261" s="4">
        <v>1157.8</v>
      </c>
      <c r="Q261" s="5">
        <v>1.22</v>
      </c>
    </row>
    <row r="262" spans="1:17">
      <c r="A262" s="3">
        <v>260</v>
      </c>
      <c r="B262" s="2" t="s">
        <v>176</v>
      </c>
      <c r="C262" s="2" t="s">
        <v>41</v>
      </c>
      <c r="D262" s="2" t="s">
        <v>177</v>
      </c>
      <c r="E262" s="2" t="s">
        <v>21</v>
      </c>
      <c r="F262" s="4">
        <v>6.9</v>
      </c>
      <c r="G262" s="4">
        <v>3044</v>
      </c>
      <c r="H262" s="2" t="s">
        <v>39</v>
      </c>
      <c r="I262" s="2" t="s">
        <v>23</v>
      </c>
      <c r="J262" s="3">
        <v>360</v>
      </c>
      <c r="K262" s="5">
        <v>1.05</v>
      </c>
      <c r="L262" s="4">
        <v>54.9</v>
      </c>
      <c r="M262" s="4">
        <v>2766.8</v>
      </c>
      <c r="N262" s="4">
        <v>31.1</v>
      </c>
      <c r="O262" s="4">
        <v>10.1</v>
      </c>
      <c r="P262" s="4">
        <v>1730.6</v>
      </c>
      <c r="Q262" s="5">
        <v>1.82</v>
      </c>
    </row>
    <row r="263" spans="1:17">
      <c r="A263" s="3">
        <v>261</v>
      </c>
      <c r="B263" s="2" t="s">
        <v>199</v>
      </c>
      <c r="C263" s="2" t="s">
        <v>24</v>
      </c>
      <c r="D263" s="2" t="s">
        <v>31</v>
      </c>
      <c r="E263" s="2" t="s">
        <v>21</v>
      </c>
      <c r="F263" s="4">
        <v>23.8</v>
      </c>
      <c r="G263" s="4">
        <v>3820</v>
      </c>
      <c r="H263" s="2" t="s">
        <v>36</v>
      </c>
      <c r="I263" s="2" t="s">
        <v>23</v>
      </c>
      <c r="J263" s="3">
        <v>120</v>
      </c>
      <c r="K263" s="5">
        <v>1.05</v>
      </c>
      <c r="L263" s="4">
        <v>76.7</v>
      </c>
      <c r="M263" s="4">
        <v>2770.9</v>
      </c>
      <c r="N263" s="4">
        <v>31</v>
      </c>
      <c r="O263" s="4">
        <v>8.5</v>
      </c>
      <c r="P263" s="4">
        <v>806.3</v>
      </c>
      <c r="Q263" s="5">
        <v>0.85</v>
      </c>
    </row>
    <row r="264" spans="1:17">
      <c r="A264" s="3">
        <v>262</v>
      </c>
      <c r="B264" s="2" t="s">
        <v>199</v>
      </c>
      <c r="C264" s="2" t="s">
        <v>41</v>
      </c>
      <c r="D264" s="2" t="s">
        <v>31</v>
      </c>
      <c r="E264" s="2" t="s">
        <v>21</v>
      </c>
      <c r="F264" s="4">
        <v>22.9</v>
      </c>
      <c r="G264" s="4">
        <v>3797</v>
      </c>
      <c r="H264" s="2" t="s">
        <v>36</v>
      </c>
      <c r="I264" s="2" t="s">
        <v>23</v>
      </c>
      <c r="J264" s="3">
        <v>120</v>
      </c>
      <c r="K264" s="5">
        <v>1.05</v>
      </c>
      <c r="L264" s="4">
        <v>78.900000000000006</v>
      </c>
      <c r="M264" s="4">
        <v>2770.4</v>
      </c>
      <c r="N264" s="4">
        <v>31</v>
      </c>
      <c r="O264" s="4">
        <v>8.6</v>
      </c>
      <c r="P264" s="4">
        <v>829</v>
      </c>
      <c r="Q264" s="5">
        <v>0.87</v>
      </c>
    </row>
    <row r="265" spans="1:17">
      <c r="A265" s="3">
        <v>263</v>
      </c>
      <c r="B265" s="2" t="s">
        <v>155</v>
      </c>
      <c r="C265" s="2" t="s">
        <v>45</v>
      </c>
      <c r="D265" s="2" t="s">
        <v>116</v>
      </c>
      <c r="E265" s="2" t="s">
        <v>47</v>
      </c>
      <c r="F265" s="4">
        <v>14.8</v>
      </c>
      <c r="G265" s="4">
        <v>3778.8</v>
      </c>
      <c r="H265" s="2" t="s">
        <v>36</v>
      </c>
      <c r="I265" s="2" t="s">
        <v>23</v>
      </c>
      <c r="J265" s="3">
        <v>250</v>
      </c>
      <c r="K265" s="5">
        <v>1.05</v>
      </c>
      <c r="L265" s="4">
        <v>69.3</v>
      </c>
      <c r="M265" s="4">
        <v>2785.9</v>
      </c>
      <c r="N265" s="4">
        <v>30.9</v>
      </c>
      <c r="O265" s="4">
        <v>10.199999999999999</v>
      </c>
      <c r="P265" s="4">
        <v>1516.6</v>
      </c>
      <c r="Q265" s="5">
        <v>1.6</v>
      </c>
    </row>
    <row r="266" spans="1:17">
      <c r="A266" s="3">
        <v>264</v>
      </c>
      <c r="B266" s="2" t="s">
        <v>195</v>
      </c>
      <c r="C266" s="2" t="s">
        <v>19</v>
      </c>
      <c r="D266" s="2" t="s">
        <v>196</v>
      </c>
      <c r="E266" s="2" t="s">
        <v>21</v>
      </c>
      <c r="F266" s="4">
        <v>12</v>
      </c>
      <c r="G266" s="4">
        <v>3561</v>
      </c>
      <c r="H266" s="2" t="s">
        <v>36</v>
      </c>
      <c r="I266" s="2" t="s">
        <v>23</v>
      </c>
      <c r="J266" s="3">
        <v>250</v>
      </c>
      <c r="K266" s="5">
        <v>1.05</v>
      </c>
      <c r="L266" s="4">
        <v>68.400000000000006</v>
      </c>
      <c r="M266" s="4">
        <v>2771.3</v>
      </c>
      <c r="N266" s="4">
        <v>31</v>
      </c>
      <c r="O266" s="4">
        <v>8.3000000000000007</v>
      </c>
      <c r="P266" s="4">
        <v>1497</v>
      </c>
      <c r="Q266" s="5">
        <v>1.57</v>
      </c>
    </row>
    <row r="267" spans="1:17">
      <c r="A267" s="3">
        <v>265</v>
      </c>
      <c r="B267" s="2" t="s">
        <v>192</v>
      </c>
      <c r="C267" s="2" t="s">
        <v>63</v>
      </c>
      <c r="D267" s="2" t="s">
        <v>52</v>
      </c>
      <c r="E267" s="2" t="s">
        <v>35</v>
      </c>
      <c r="F267" s="4">
        <v>12.2</v>
      </c>
      <c r="G267" s="4">
        <v>3483</v>
      </c>
      <c r="H267" s="2" t="s">
        <v>39</v>
      </c>
      <c r="I267" s="2" t="s">
        <v>23</v>
      </c>
      <c r="J267" s="3">
        <v>250</v>
      </c>
      <c r="K267" s="5">
        <v>1.05</v>
      </c>
      <c r="L267" s="4">
        <v>41.8</v>
      </c>
      <c r="M267" s="4">
        <v>2771.2</v>
      </c>
      <c r="N267" s="4">
        <v>31</v>
      </c>
      <c r="O267" s="4">
        <v>9.6999999999999993</v>
      </c>
      <c r="P267" s="4">
        <v>915</v>
      </c>
      <c r="Q267" s="5">
        <v>0.96</v>
      </c>
    </row>
    <row r="268" spans="1:17">
      <c r="A268" s="3">
        <v>266</v>
      </c>
      <c r="B268" s="2" t="s">
        <v>141</v>
      </c>
      <c r="C268" s="2" t="s">
        <v>33</v>
      </c>
      <c r="D268" s="2" t="s">
        <v>142</v>
      </c>
      <c r="E268" s="2" t="s">
        <v>35</v>
      </c>
      <c r="F268" s="4">
        <v>35.299999999999997</v>
      </c>
      <c r="G268" s="4">
        <v>3360</v>
      </c>
      <c r="H268" s="2" t="s">
        <v>39</v>
      </c>
      <c r="I268" s="2" t="s">
        <v>23</v>
      </c>
      <c r="J268" s="3">
        <v>210</v>
      </c>
      <c r="K268" s="5">
        <v>1.05</v>
      </c>
      <c r="L268" s="4">
        <v>73.099999999999994</v>
      </c>
      <c r="M268" s="4">
        <v>2774.8</v>
      </c>
      <c r="N268" s="4">
        <v>31</v>
      </c>
      <c r="O268" s="4">
        <v>11.3</v>
      </c>
      <c r="P268" s="4">
        <v>1344.5</v>
      </c>
      <c r="Q268" s="5">
        <v>1.42</v>
      </c>
    </row>
    <row r="269" spans="1:17">
      <c r="A269" s="3">
        <v>267</v>
      </c>
      <c r="B269" s="2" t="s">
        <v>200</v>
      </c>
      <c r="C269" s="2" t="s">
        <v>78</v>
      </c>
      <c r="D269" s="2" t="s">
        <v>119</v>
      </c>
      <c r="E269" s="2" t="s">
        <v>35</v>
      </c>
      <c r="F269" s="4">
        <v>30.4</v>
      </c>
      <c r="G269" s="4">
        <v>2946</v>
      </c>
      <c r="H269" s="2" t="s">
        <v>43</v>
      </c>
      <c r="I269" s="2" t="s">
        <v>23</v>
      </c>
      <c r="J269" s="3">
        <v>210</v>
      </c>
      <c r="K269" s="5">
        <v>1.05</v>
      </c>
      <c r="L269" s="4">
        <v>62.4</v>
      </c>
      <c r="M269" s="4">
        <v>2771.5</v>
      </c>
      <c r="N269" s="4">
        <v>31</v>
      </c>
      <c r="O269" s="4">
        <v>9.6</v>
      </c>
      <c r="P269" s="4">
        <v>1148</v>
      </c>
      <c r="Q269" s="5">
        <v>1.21</v>
      </c>
    </row>
    <row r="270" spans="1:17">
      <c r="A270" s="3">
        <v>268</v>
      </c>
      <c r="B270" s="2" t="s">
        <v>193</v>
      </c>
      <c r="C270" s="2" t="s">
        <v>19</v>
      </c>
      <c r="D270" s="2" t="s">
        <v>194</v>
      </c>
      <c r="E270" s="2" t="s">
        <v>21</v>
      </c>
      <c r="F270" s="4">
        <v>11.4</v>
      </c>
      <c r="G270" s="4">
        <v>3623.7</v>
      </c>
      <c r="H270" s="2" t="s">
        <v>36</v>
      </c>
      <c r="I270" s="2" t="s">
        <v>23</v>
      </c>
      <c r="J270" s="3">
        <v>600</v>
      </c>
      <c r="K270" s="5">
        <v>1.05</v>
      </c>
      <c r="L270" s="4">
        <v>31.7</v>
      </c>
      <c r="M270" s="4">
        <v>2782.1</v>
      </c>
      <c r="N270" s="4">
        <v>30.9</v>
      </c>
      <c r="O270" s="4">
        <v>7.8</v>
      </c>
      <c r="P270" s="4">
        <v>1663.8</v>
      </c>
      <c r="Q270" s="5">
        <v>1.75</v>
      </c>
    </row>
    <row r="271" spans="1:17">
      <c r="A271" s="3">
        <v>269</v>
      </c>
      <c r="B271" s="2" t="s">
        <v>124</v>
      </c>
      <c r="C271" s="2" t="s">
        <v>24</v>
      </c>
      <c r="D271" s="2" t="s">
        <v>46</v>
      </c>
      <c r="E271" s="2" t="s">
        <v>47</v>
      </c>
      <c r="F271" s="4">
        <v>37.6</v>
      </c>
      <c r="G271" s="4">
        <v>3935.3</v>
      </c>
      <c r="H271" s="2" t="s">
        <v>36</v>
      </c>
      <c r="I271" s="2" t="s">
        <v>23</v>
      </c>
      <c r="J271" s="3">
        <v>200</v>
      </c>
      <c r="K271" s="5">
        <v>1.06</v>
      </c>
      <c r="L271" s="4">
        <v>60.1</v>
      </c>
      <c r="M271" s="4">
        <v>2805.8</v>
      </c>
      <c r="N271" s="4">
        <v>30.6</v>
      </c>
      <c r="O271" s="4">
        <v>9.8000000000000007</v>
      </c>
      <c r="P271" s="4">
        <v>1052.4000000000001</v>
      </c>
      <c r="Q271" s="5">
        <v>1.1100000000000001</v>
      </c>
    </row>
    <row r="272" spans="1:17">
      <c r="A272" s="3">
        <v>270</v>
      </c>
      <c r="B272" s="2" t="s">
        <v>174</v>
      </c>
      <c r="C272" s="2" t="s">
        <v>24</v>
      </c>
      <c r="D272" s="2" t="s">
        <v>142</v>
      </c>
      <c r="E272" s="2" t="s">
        <v>35</v>
      </c>
      <c r="F272" s="4">
        <v>24.4</v>
      </c>
      <c r="G272" s="4">
        <v>3277</v>
      </c>
      <c r="H272" s="2" t="s">
        <v>39</v>
      </c>
      <c r="I272" s="2" t="s">
        <v>23</v>
      </c>
      <c r="J272" s="3">
        <v>250</v>
      </c>
      <c r="K272" s="5">
        <v>1.06</v>
      </c>
      <c r="L272" s="4">
        <v>41.2</v>
      </c>
      <c r="M272" s="4">
        <v>2770.6</v>
      </c>
      <c r="N272" s="4">
        <v>31</v>
      </c>
      <c r="O272" s="4">
        <v>10.5</v>
      </c>
      <c r="P272" s="4">
        <v>901.4</v>
      </c>
      <c r="Q272" s="5">
        <v>0.95</v>
      </c>
    </row>
    <row r="273" spans="1:17">
      <c r="A273" s="3">
        <v>271</v>
      </c>
      <c r="B273" s="2" t="s">
        <v>118</v>
      </c>
      <c r="C273" s="2" t="s">
        <v>41</v>
      </c>
      <c r="D273" s="2" t="s">
        <v>119</v>
      </c>
      <c r="E273" s="2" t="s">
        <v>35</v>
      </c>
      <c r="F273" s="4">
        <v>17.5</v>
      </c>
      <c r="G273" s="4">
        <v>3247</v>
      </c>
      <c r="H273" s="2" t="s">
        <v>39</v>
      </c>
      <c r="I273" s="2" t="s">
        <v>23</v>
      </c>
      <c r="J273" s="3">
        <v>210</v>
      </c>
      <c r="K273" s="5">
        <v>1.06</v>
      </c>
      <c r="L273" s="4">
        <v>67</v>
      </c>
      <c r="M273" s="4">
        <v>2780</v>
      </c>
      <c r="N273" s="4">
        <v>30.9</v>
      </c>
      <c r="O273" s="4">
        <v>8.8000000000000007</v>
      </c>
      <c r="P273" s="4">
        <v>1231.7</v>
      </c>
      <c r="Q273" s="5">
        <v>1.3</v>
      </c>
    </row>
    <row r="274" spans="1:17">
      <c r="A274" s="3">
        <v>272</v>
      </c>
      <c r="B274" s="2" t="s">
        <v>201</v>
      </c>
      <c r="C274" s="2" t="s">
        <v>24</v>
      </c>
      <c r="D274" s="2" t="s">
        <v>202</v>
      </c>
      <c r="E274" s="2" t="s">
        <v>21</v>
      </c>
      <c r="F274" s="4">
        <v>8.4</v>
      </c>
      <c r="G274" s="4">
        <v>3532.9</v>
      </c>
      <c r="H274" s="2" t="s">
        <v>36</v>
      </c>
      <c r="I274" s="2" t="s">
        <v>23</v>
      </c>
      <c r="J274" s="3">
        <v>300</v>
      </c>
      <c r="K274" s="5">
        <v>1.06</v>
      </c>
      <c r="L274" s="4">
        <v>28.7</v>
      </c>
      <c r="M274" s="4">
        <v>2792.1</v>
      </c>
      <c r="N274" s="4">
        <v>30.8</v>
      </c>
      <c r="O274" s="4">
        <v>6.8</v>
      </c>
      <c r="P274" s="4">
        <v>753</v>
      </c>
      <c r="Q274" s="5">
        <v>0.8</v>
      </c>
    </row>
    <row r="275" spans="1:17">
      <c r="A275" s="3">
        <v>273</v>
      </c>
      <c r="B275" s="2" t="s">
        <v>203</v>
      </c>
      <c r="C275" s="2" t="s">
        <v>19</v>
      </c>
      <c r="D275" s="2" t="s">
        <v>204</v>
      </c>
      <c r="E275" s="2" t="s">
        <v>21</v>
      </c>
      <c r="F275" s="4">
        <v>14.3</v>
      </c>
      <c r="G275" s="4">
        <v>3710.2</v>
      </c>
      <c r="H275" s="2" t="s">
        <v>36</v>
      </c>
      <c r="I275" s="2" t="s">
        <v>23</v>
      </c>
      <c r="J275" s="3">
        <v>135</v>
      </c>
      <c r="K275" s="5">
        <v>1.06</v>
      </c>
      <c r="L275" s="4">
        <v>44</v>
      </c>
      <c r="M275" s="4">
        <v>2787.8</v>
      </c>
      <c r="N275" s="4">
        <v>30.8</v>
      </c>
      <c r="O275" s="4">
        <v>10.1</v>
      </c>
      <c r="P275" s="4">
        <v>520.4</v>
      </c>
      <c r="Q275" s="5">
        <v>0.55000000000000004</v>
      </c>
    </row>
    <row r="276" spans="1:17">
      <c r="A276" s="3">
        <v>274</v>
      </c>
      <c r="B276" s="2" t="s">
        <v>203</v>
      </c>
      <c r="C276" s="2" t="s">
        <v>24</v>
      </c>
      <c r="D276" s="2" t="s">
        <v>204</v>
      </c>
      <c r="E276" s="2" t="s">
        <v>21</v>
      </c>
      <c r="F276" s="4">
        <v>14.2</v>
      </c>
      <c r="G276" s="4">
        <v>3710.2</v>
      </c>
      <c r="H276" s="2" t="s">
        <v>36</v>
      </c>
      <c r="I276" s="2" t="s">
        <v>23</v>
      </c>
      <c r="J276" s="3">
        <v>135</v>
      </c>
      <c r="K276" s="5">
        <v>1.06</v>
      </c>
      <c r="L276" s="4">
        <v>50.3</v>
      </c>
      <c r="M276" s="4">
        <v>2787.8</v>
      </c>
      <c r="N276" s="4">
        <v>30.8</v>
      </c>
      <c r="O276" s="4">
        <v>10.1</v>
      </c>
      <c r="P276" s="4">
        <v>595.29999999999995</v>
      </c>
      <c r="Q276" s="5">
        <v>0.63</v>
      </c>
    </row>
    <row r="277" spans="1:17">
      <c r="A277" s="3">
        <v>275</v>
      </c>
      <c r="B277" s="2" t="s">
        <v>203</v>
      </c>
      <c r="C277" s="2" t="s">
        <v>41</v>
      </c>
      <c r="D277" s="2" t="s">
        <v>204</v>
      </c>
      <c r="E277" s="2" t="s">
        <v>21</v>
      </c>
      <c r="F277" s="4">
        <v>13.8</v>
      </c>
      <c r="G277" s="4">
        <v>3710.2</v>
      </c>
      <c r="H277" s="2" t="s">
        <v>36</v>
      </c>
      <c r="I277" s="2" t="s">
        <v>23</v>
      </c>
      <c r="J277" s="3">
        <v>135</v>
      </c>
      <c r="K277" s="5">
        <v>1.06</v>
      </c>
      <c r="L277" s="4">
        <v>53.3</v>
      </c>
      <c r="M277" s="4">
        <v>2787.8</v>
      </c>
      <c r="N277" s="4">
        <v>30.8</v>
      </c>
      <c r="O277" s="4">
        <v>10.1</v>
      </c>
      <c r="P277" s="4">
        <v>630.1</v>
      </c>
      <c r="Q277" s="5">
        <v>0.67</v>
      </c>
    </row>
    <row r="278" spans="1:17">
      <c r="A278" s="3">
        <v>276</v>
      </c>
      <c r="B278" s="2" t="s">
        <v>203</v>
      </c>
      <c r="C278" s="2" t="s">
        <v>33</v>
      </c>
      <c r="D278" s="2" t="s">
        <v>204</v>
      </c>
      <c r="E278" s="2" t="s">
        <v>21</v>
      </c>
      <c r="F278" s="4">
        <v>13.3</v>
      </c>
      <c r="G278" s="4">
        <v>3710.2</v>
      </c>
      <c r="H278" s="2" t="s">
        <v>36</v>
      </c>
      <c r="I278" s="2" t="s">
        <v>23</v>
      </c>
      <c r="J278" s="3">
        <v>135</v>
      </c>
      <c r="K278" s="5">
        <v>1.06</v>
      </c>
      <c r="L278" s="4">
        <v>64</v>
      </c>
      <c r="M278" s="4">
        <v>2787.8</v>
      </c>
      <c r="N278" s="4">
        <v>30.8</v>
      </c>
      <c r="O278" s="4">
        <v>10.1</v>
      </c>
      <c r="P278" s="4">
        <v>757.2</v>
      </c>
      <c r="Q278" s="5">
        <v>0.8</v>
      </c>
    </row>
    <row r="279" spans="1:17">
      <c r="A279" s="3">
        <v>277</v>
      </c>
      <c r="B279" s="2" t="s">
        <v>124</v>
      </c>
      <c r="C279" s="2" t="s">
        <v>41</v>
      </c>
      <c r="D279" s="2" t="s">
        <v>46</v>
      </c>
      <c r="E279" s="2" t="s">
        <v>47</v>
      </c>
      <c r="F279" s="4">
        <v>37</v>
      </c>
      <c r="G279" s="4">
        <v>3954.9</v>
      </c>
      <c r="H279" s="2" t="s">
        <v>36</v>
      </c>
      <c r="I279" s="2" t="s">
        <v>23</v>
      </c>
      <c r="J279" s="3">
        <v>200</v>
      </c>
      <c r="K279" s="5">
        <v>1.06</v>
      </c>
      <c r="L279" s="4">
        <v>72</v>
      </c>
      <c r="M279" s="4">
        <v>2816.9</v>
      </c>
      <c r="N279" s="4">
        <v>30.5</v>
      </c>
      <c r="O279" s="4">
        <v>9.9</v>
      </c>
      <c r="P279" s="4">
        <v>1261</v>
      </c>
      <c r="Q279" s="5">
        <v>1.34</v>
      </c>
    </row>
    <row r="280" spans="1:17">
      <c r="A280" s="3">
        <v>278</v>
      </c>
      <c r="B280" s="2" t="s">
        <v>123</v>
      </c>
      <c r="C280" s="2" t="s">
        <v>78</v>
      </c>
      <c r="D280" s="2" t="s">
        <v>46</v>
      </c>
      <c r="E280" s="2" t="s">
        <v>47</v>
      </c>
      <c r="F280" s="4">
        <v>17.899999999999999</v>
      </c>
      <c r="G280" s="4">
        <v>3779.7</v>
      </c>
      <c r="H280" s="2" t="s">
        <v>36</v>
      </c>
      <c r="I280" s="2" t="s">
        <v>23</v>
      </c>
      <c r="J280" s="3">
        <v>210</v>
      </c>
      <c r="K280" s="5">
        <v>1.06</v>
      </c>
      <c r="L280" s="4">
        <v>69.3</v>
      </c>
      <c r="M280" s="4">
        <v>2817.3</v>
      </c>
      <c r="N280" s="4">
        <v>30.5</v>
      </c>
      <c r="O280" s="4">
        <v>9.4</v>
      </c>
      <c r="P280" s="4">
        <v>1274.7</v>
      </c>
      <c r="Q280" s="5">
        <v>1.35</v>
      </c>
    </row>
    <row r="281" spans="1:17">
      <c r="A281" s="3">
        <v>279</v>
      </c>
      <c r="B281" s="2" t="s">
        <v>182</v>
      </c>
      <c r="C281" s="2" t="s">
        <v>33</v>
      </c>
      <c r="D281" s="2" t="s">
        <v>162</v>
      </c>
      <c r="E281" s="2" t="s">
        <v>35</v>
      </c>
      <c r="F281" s="4">
        <v>8.9</v>
      </c>
      <c r="G281" s="4">
        <v>4988</v>
      </c>
      <c r="H281" s="2" t="s">
        <v>99</v>
      </c>
      <c r="I281" s="2" t="s">
        <v>23</v>
      </c>
      <c r="J281" s="3">
        <v>250</v>
      </c>
      <c r="K281" s="5">
        <v>1.06</v>
      </c>
      <c r="L281" s="4">
        <v>28.2</v>
      </c>
      <c r="M281" s="4">
        <v>2942.7</v>
      </c>
      <c r="N281" s="4">
        <v>29.2</v>
      </c>
      <c r="O281" s="4">
        <v>31.1</v>
      </c>
      <c r="P281" s="4">
        <v>617</v>
      </c>
      <c r="Q281" s="5">
        <v>0.65</v>
      </c>
    </row>
    <row r="282" spans="1:17">
      <c r="A282" s="3">
        <v>280</v>
      </c>
      <c r="B282" s="2" t="s">
        <v>205</v>
      </c>
      <c r="C282" s="2" t="s">
        <v>19</v>
      </c>
      <c r="D282" s="2" t="s">
        <v>206</v>
      </c>
      <c r="E282" s="2" t="s">
        <v>21</v>
      </c>
      <c r="F282" s="4">
        <v>9.1</v>
      </c>
      <c r="G282" s="4">
        <v>3485</v>
      </c>
      <c r="H282" s="2" t="s">
        <v>39</v>
      </c>
      <c r="I282" s="2" t="s">
        <v>23</v>
      </c>
      <c r="J282" s="3">
        <v>300</v>
      </c>
      <c r="K282" s="5">
        <v>1.06</v>
      </c>
      <c r="L282" s="4">
        <v>52.5</v>
      </c>
      <c r="M282" s="4">
        <v>2790</v>
      </c>
      <c r="N282" s="4">
        <v>30.8</v>
      </c>
      <c r="O282" s="4">
        <v>8.9</v>
      </c>
      <c r="P282" s="4">
        <v>1379</v>
      </c>
      <c r="Q282" s="5">
        <v>1.46</v>
      </c>
    </row>
    <row r="283" spans="1:17">
      <c r="A283" s="3">
        <v>281</v>
      </c>
      <c r="B283" s="2" t="s">
        <v>207</v>
      </c>
      <c r="C283" s="2" t="s">
        <v>19</v>
      </c>
      <c r="D283" s="2" t="s">
        <v>208</v>
      </c>
      <c r="E283" s="2" t="s">
        <v>35</v>
      </c>
      <c r="F283" s="4">
        <v>30.3</v>
      </c>
      <c r="G283" s="4">
        <v>3469</v>
      </c>
      <c r="H283" s="2" t="s">
        <v>39</v>
      </c>
      <c r="I283" s="2" t="s">
        <v>23</v>
      </c>
      <c r="J283" s="3">
        <v>210</v>
      </c>
      <c r="K283" s="5">
        <v>1.06</v>
      </c>
      <c r="L283" s="4">
        <v>62.5</v>
      </c>
      <c r="M283" s="4">
        <v>2793.1</v>
      </c>
      <c r="N283" s="4">
        <v>30.8</v>
      </c>
      <c r="O283" s="4">
        <v>10.4</v>
      </c>
      <c r="P283" s="4">
        <v>1149.7</v>
      </c>
      <c r="Q283" s="5">
        <v>1.22</v>
      </c>
    </row>
    <row r="284" spans="1:17">
      <c r="A284" s="3">
        <v>282</v>
      </c>
      <c r="B284" s="2" t="s">
        <v>174</v>
      </c>
      <c r="C284" s="2" t="s">
        <v>41</v>
      </c>
      <c r="D284" s="2" t="s">
        <v>142</v>
      </c>
      <c r="E284" s="2" t="s">
        <v>35</v>
      </c>
      <c r="F284" s="4">
        <v>22.8</v>
      </c>
      <c r="G284" s="4">
        <v>3268</v>
      </c>
      <c r="H284" s="2" t="s">
        <v>39</v>
      </c>
      <c r="I284" s="2" t="s">
        <v>23</v>
      </c>
      <c r="J284" s="3">
        <v>250</v>
      </c>
      <c r="K284" s="5">
        <v>1.06</v>
      </c>
      <c r="L284" s="4">
        <v>32.4</v>
      </c>
      <c r="M284" s="4">
        <v>2768.5</v>
      </c>
      <c r="N284" s="4">
        <v>31.1</v>
      </c>
      <c r="O284" s="4">
        <v>11.7</v>
      </c>
      <c r="P284" s="4">
        <v>709.8</v>
      </c>
      <c r="Q284" s="5">
        <v>0.75</v>
      </c>
    </row>
    <row r="285" spans="1:17">
      <c r="A285" s="3">
        <v>283</v>
      </c>
      <c r="B285" s="2" t="s">
        <v>141</v>
      </c>
      <c r="C285" s="2" t="s">
        <v>78</v>
      </c>
      <c r="D285" s="2" t="s">
        <v>142</v>
      </c>
      <c r="E285" s="2" t="s">
        <v>35</v>
      </c>
      <c r="F285" s="4">
        <v>30.4</v>
      </c>
      <c r="G285" s="4">
        <v>3357</v>
      </c>
      <c r="H285" s="2" t="s">
        <v>39</v>
      </c>
      <c r="I285" s="2" t="s">
        <v>23</v>
      </c>
      <c r="J285" s="3">
        <v>210</v>
      </c>
      <c r="K285" s="5">
        <v>1.07</v>
      </c>
      <c r="L285" s="4">
        <v>67</v>
      </c>
      <c r="M285" s="4">
        <v>2808.4</v>
      </c>
      <c r="N285" s="4">
        <v>30.6</v>
      </c>
      <c r="O285" s="4">
        <v>11.3</v>
      </c>
      <c r="P285" s="4">
        <v>1232.2</v>
      </c>
      <c r="Q285" s="5">
        <v>1.31</v>
      </c>
    </row>
    <row r="286" spans="1:17">
      <c r="A286" s="3">
        <v>284</v>
      </c>
      <c r="B286" s="2" t="s">
        <v>209</v>
      </c>
      <c r="C286" s="2" t="s">
        <v>24</v>
      </c>
      <c r="D286" s="2" t="s">
        <v>210</v>
      </c>
      <c r="E286" s="2" t="s">
        <v>21</v>
      </c>
      <c r="F286" s="4">
        <v>6.6</v>
      </c>
      <c r="G286" s="4">
        <v>3287</v>
      </c>
      <c r="H286" s="2" t="s">
        <v>39</v>
      </c>
      <c r="I286" s="2" t="s">
        <v>23</v>
      </c>
      <c r="J286" s="3">
        <v>150</v>
      </c>
      <c r="K286" s="5">
        <v>1.07</v>
      </c>
      <c r="L286" s="4">
        <v>65.7</v>
      </c>
      <c r="M286" s="4">
        <v>2812.8</v>
      </c>
      <c r="N286" s="4">
        <v>30.6</v>
      </c>
      <c r="O286" s="4">
        <v>9.4</v>
      </c>
      <c r="P286" s="4">
        <v>862.8</v>
      </c>
      <c r="Q286" s="5">
        <v>0.92</v>
      </c>
    </row>
    <row r="287" spans="1:17">
      <c r="A287" s="3">
        <v>285</v>
      </c>
      <c r="B287" s="2" t="s">
        <v>123</v>
      </c>
      <c r="C287" s="2" t="s">
        <v>24</v>
      </c>
      <c r="D287" s="2" t="s">
        <v>46</v>
      </c>
      <c r="E287" s="2" t="s">
        <v>47</v>
      </c>
      <c r="F287" s="4">
        <v>35.4</v>
      </c>
      <c r="G287" s="4">
        <v>3831.3</v>
      </c>
      <c r="H287" s="2" t="s">
        <v>36</v>
      </c>
      <c r="I287" s="2" t="s">
        <v>23</v>
      </c>
      <c r="J287" s="3">
        <v>210</v>
      </c>
      <c r="K287" s="5">
        <v>1.07</v>
      </c>
      <c r="L287" s="4">
        <v>50.9</v>
      </c>
      <c r="M287" s="4">
        <v>2837.1</v>
      </c>
      <c r="N287" s="4">
        <v>30.3</v>
      </c>
      <c r="O287" s="4">
        <v>10.3</v>
      </c>
      <c r="P287" s="4">
        <v>936.2</v>
      </c>
      <c r="Q287" s="5">
        <v>1</v>
      </c>
    </row>
    <row r="288" spans="1:17">
      <c r="A288" s="3">
        <v>286</v>
      </c>
      <c r="B288" s="2" t="s">
        <v>211</v>
      </c>
      <c r="C288" s="2" t="s">
        <v>19</v>
      </c>
      <c r="D288" s="2" t="s">
        <v>142</v>
      </c>
      <c r="E288" s="2" t="s">
        <v>35</v>
      </c>
      <c r="F288" s="4">
        <v>10.3</v>
      </c>
      <c r="G288" s="4">
        <v>3902.6</v>
      </c>
      <c r="H288" s="2" t="s">
        <v>36</v>
      </c>
      <c r="I288" s="2" t="s">
        <v>23</v>
      </c>
      <c r="J288" s="3">
        <v>600</v>
      </c>
      <c r="K288" s="5">
        <v>1.07</v>
      </c>
      <c r="L288" s="4">
        <v>57.6</v>
      </c>
      <c r="M288" s="4">
        <v>2812.5</v>
      </c>
      <c r="N288" s="4">
        <v>30.6</v>
      </c>
      <c r="O288" s="4">
        <v>7.3</v>
      </c>
      <c r="P288" s="4">
        <v>3029.4</v>
      </c>
      <c r="Q288" s="5">
        <v>3.24</v>
      </c>
    </row>
    <row r="289" spans="1:17">
      <c r="A289" s="3">
        <v>287</v>
      </c>
      <c r="B289" s="2" t="s">
        <v>212</v>
      </c>
      <c r="C289" s="2" t="s">
        <v>51</v>
      </c>
      <c r="D289" s="2" t="s">
        <v>58</v>
      </c>
      <c r="E289" s="2" t="s">
        <v>35</v>
      </c>
      <c r="F289" s="4">
        <v>17.5</v>
      </c>
      <c r="G289" s="4">
        <v>3234</v>
      </c>
      <c r="H289" s="2" t="s">
        <v>39</v>
      </c>
      <c r="I289" s="2" t="s">
        <v>23</v>
      </c>
      <c r="J289" s="3">
        <v>250</v>
      </c>
      <c r="K289" s="5">
        <v>1.07</v>
      </c>
      <c r="L289" s="4">
        <v>59.5</v>
      </c>
      <c r="M289" s="4">
        <v>2797.2</v>
      </c>
      <c r="N289" s="4">
        <v>30.7</v>
      </c>
      <c r="O289" s="4">
        <v>11.5</v>
      </c>
      <c r="P289" s="4">
        <v>1303</v>
      </c>
      <c r="Q289" s="5">
        <v>1.39</v>
      </c>
    </row>
    <row r="290" spans="1:17">
      <c r="A290" s="3">
        <v>288</v>
      </c>
      <c r="B290" s="2" t="s">
        <v>211</v>
      </c>
      <c r="C290" s="2" t="s">
        <v>24</v>
      </c>
      <c r="D290" s="2" t="s">
        <v>142</v>
      </c>
      <c r="E290" s="2" t="s">
        <v>35</v>
      </c>
      <c r="F290" s="4">
        <v>9.1999999999999993</v>
      </c>
      <c r="G290" s="4">
        <v>3865.6</v>
      </c>
      <c r="H290" s="2" t="s">
        <v>36</v>
      </c>
      <c r="I290" s="2" t="s">
        <v>23</v>
      </c>
      <c r="J290" s="3">
        <v>600</v>
      </c>
      <c r="K290" s="5">
        <v>1.07</v>
      </c>
      <c r="L290" s="4">
        <v>50.5</v>
      </c>
      <c r="M290" s="4">
        <v>2817.5</v>
      </c>
      <c r="N290" s="4">
        <v>30.5</v>
      </c>
      <c r="O290" s="4">
        <v>6.6</v>
      </c>
      <c r="P290" s="4">
        <v>2654.9</v>
      </c>
      <c r="Q290" s="5">
        <v>2.84</v>
      </c>
    </row>
    <row r="291" spans="1:17">
      <c r="A291" s="3">
        <v>289</v>
      </c>
      <c r="B291" s="2" t="s">
        <v>213</v>
      </c>
      <c r="C291" s="2" t="s">
        <v>41</v>
      </c>
      <c r="D291" s="2" t="s">
        <v>142</v>
      </c>
      <c r="E291" s="2" t="s">
        <v>35</v>
      </c>
      <c r="F291" s="4">
        <v>10.9</v>
      </c>
      <c r="G291" s="4">
        <v>3768.1</v>
      </c>
      <c r="H291" s="2" t="s">
        <v>36</v>
      </c>
      <c r="I291" s="2" t="s">
        <v>23</v>
      </c>
      <c r="J291" s="3">
        <v>250</v>
      </c>
      <c r="K291" s="5">
        <v>1.07</v>
      </c>
      <c r="L291" s="4">
        <v>73.099999999999994</v>
      </c>
      <c r="M291" s="4">
        <v>2818.6</v>
      </c>
      <c r="N291" s="4">
        <v>30.5</v>
      </c>
      <c r="O291" s="4">
        <v>9.9</v>
      </c>
      <c r="P291" s="4">
        <v>1601.5</v>
      </c>
      <c r="Q291" s="5">
        <v>1.71</v>
      </c>
    </row>
    <row r="292" spans="1:17">
      <c r="A292" s="3">
        <v>290</v>
      </c>
      <c r="B292" s="2" t="s">
        <v>214</v>
      </c>
      <c r="C292" s="2" t="s">
        <v>45</v>
      </c>
      <c r="D292" s="2" t="s">
        <v>215</v>
      </c>
      <c r="E292" s="2" t="s">
        <v>35</v>
      </c>
      <c r="F292" s="4">
        <v>21.7</v>
      </c>
      <c r="G292" s="4">
        <v>3099.5</v>
      </c>
      <c r="H292" s="2" t="s">
        <v>39</v>
      </c>
      <c r="I292" s="2" t="s">
        <v>23</v>
      </c>
      <c r="J292" s="3">
        <v>210</v>
      </c>
      <c r="K292" s="5">
        <v>1.07</v>
      </c>
      <c r="L292" s="4">
        <v>40.799999999999997</v>
      </c>
      <c r="M292" s="4">
        <v>2803.8</v>
      </c>
      <c r="N292" s="4">
        <v>30.7</v>
      </c>
      <c r="O292" s="4">
        <v>11.3</v>
      </c>
      <c r="P292" s="4">
        <v>751.3</v>
      </c>
      <c r="Q292" s="5">
        <v>0.8</v>
      </c>
    </row>
    <row r="293" spans="1:17">
      <c r="A293" s="3">
        <v>291</v>
      </c>
      <c r="B293" s="2" t="s">
        <v>123</v>
      </c>
      <c r="C293" s="2" t="s">
        <v>33</v>
      </c>
      <c r="D293" s="2" t="s">
        <v>46</v>
      </c>
      <c r="E293" s="2" t="s">
        <v>47</v>
      </c>
      <c r="F293" s="4">
        <v>24.8</v>
      </c>
      <c r="G293" s="4">
        <v>3703.6</v>
      </c>
      <c r="H293" s="2" t="s">
        <v>36</v>
      </c>
      <c r="I293" s="2" t="s">
        <v>23</v>
      </c>
      <c r="J293" s="3">
        <v>210</v>
      </c>
      <c r="K293" s="5">
        <v>1.07</v>
      </c>
      <c r="L293" s="4">
        <v>68.7</v>
      </c>
      <c r="M293" s="4">
        <v>2818.2</v>
      </c>
      <c r="N293" s="4">
        <v>30.5</v>
      </c>
      <c r="O293" s="4">
        <v>10.1</v>
      </c>
      <c r="P293" s="4">
        <v>1263</v>
      </c>
      <c r="Q293" s="5">
        <v>1.35</v>
      </c>
    </row>
    <row r="294" spans="1:17">
      <c r="A294" s="3">
        <v>292</v>
      </c>
      <c r="B294" s="2" t="s">
        <v>214</v>
      </c>
      <c r="C294" s="2" t="s">
        <v>41</v>
      </c>
      <c r="D294" s="2" t="s">
        <v>215</v>
      </c>
      <c r="E294" s="2" t="s">
        <v>35</v>
      </c>
      <c r="F294" s="4">
        <v>33.4</v>
      </c>
      <c r="G294" s="4">
        <v>3097.3</v>
      </c>
      <c r="H294" s="2" t="s">
        <v>39</v>
      </c>
      <c r="I294" s="2" t="s">
        <v>23</v>
      </c>
      <c r="J294" s="3">
        <v>210</v>
      </c>
      <c r="K294" s="5">
        <v>1.07</v>
      </c>
      <c r="L294" s="4">
        <v>51.4</v>
      </c>
      <c r="M294" s="4">
        <v>2802.1</v>
      </c>
      <c r="N294" s="4">
        <v>30.7</v>
      </c>
      <c r="O294" s="4">
        <v>11.3</v>
      </c>
      <c r="P294" s="4">
        <v>945.3</v>
      </c>
      <c r="Q294" s="5">
        <v>1.01</v>
      </c>
    </row>
    <row r="295" spans="1:17">
      <c r="A295" s="3">
        <v>293</v>
      </c>
      <c r="B295" s="2" t="s">
        <v>216</v>
      </c>
      <c r="C295" s="2" t="s">
        <v>19</v>
      </c>
      <c r="D295" s="2" t="s">
        <v>210</v>
      </c>
      <c r="E295" s="2" t="s">
        <v>21</v>
      </c>
      <c r="F295" s="4">
        <v>7.2</v>
      </c>
      <c r="G295" s="4">
        <v>3212</v>
      </c>
      <c r="H295" s="2" t="s">
        <v>39</v>
      </c>
      <c r="I295" s="2" t="s">
        <v>23</v>
      </c>
      <c r="J295" s="3">
        <v>150</v>
      </c>
      <c r="K295" s="5">
        <v>1.07</v>
      </c>
      <c r="L295" s="4">
        <v>63.9</v>
      </c>
      <c r="M295" s="4">
        <v>2822.2</v>
      </c>
      <c r="N295" s="4">
        <v>30.5</v>
      </c>
      <c r="O295" s="4">
        <v>9.4</v>
      </c>
      <c r="P295" s="4">
        <v>839.5</v>
      </c>
      <c r="Q295" s="5">
        <v>0.9</v>
      </c>
    </row>
    <row r="296" spans="1:17">
      <c r="A296" s="3">
        <v>294</v>
      </c>
      <c r="B296" s="2" t="s">
        <v>214</v>
      </c>
      <c r="C296" s="2" t="s">
        <v>57</v>
      </c>
      <c r="D296" s="2" t="s">
        <v>215</v>
      </c>
      <c r="E296" s="2" t="s">
        <v>35</v>
      </c>
      <c r="F296" s="4">
        <v>14.1</v>
      </c>
      <c r="G296" s="4">
        <v>2942.8</v>
      </c>
      <c r="H296" s="2" t="s">
        <v>43</v>
      </c>
      <c r="I296" s="2" t="s">
        <v>23</v>
      </c>
      <c r="J296" s="3">
        <v>250</v>
      </c>
      <c r="K296" s="5">
        <v>1.07</v>
      </c>
      <c r="L296" s="4">
        <v>46.3</v>
      </c>
      <c r="M296" s="4">
        <v>2805</v>
      </c>
      <c r="N296" s="4">
        <v>30.7</v>
      </c>
      <c r="O296" s="4">
        <v>11.3</v>
      </c>
      <c r="P296" s="4">
        <v>1013.6</v>
      </c>
      <c r="Q296" s="5">
        <v>1.0900000000000001</v>
      </c>
    </row>
    <row r="297" spans="1:17">
      <c r="A297" s="3">
        <v>295</v>
      </c>
      <c r="B297" s="2" t="s">
        <v>214</v>
      </c>
      <c r="C297" s="2" t="s">
        <v>51</v>
      </c>
      <c r="D297" s="2" t="s">
        <v>215</v>
      </c>
      <c r="E297" s="2" t="s">
        <v>35</v>
      </c>
      <c r="F297" s="4">
        <v>25</v>
      </c>
      <c r="G297" s="4">
        <v>3115.3</v>
      </c>
      <c r="H297" s="2" t="s">
        <v>39</v>
      </c>
      <c r="I297" s="2" t="s">
        <v>23</v>
      </c>
      <c r="J297" s="3">
        <v>210</v>
      </c>
      <c r="K297" s="5">
        <v>1.07</v>
      </c>
      <c r="L297" s="4">
        <v>41.8</v>
      </c>
      <c r="M297" s="4">
        <v>2810.4</v>
      </c>
      <c r="N297" s="4">
        <v>30.6</v>
      </c>
      <c r="O297" s="4">
        <v>11.3</v>
      </c>
      <c r="P297" s="4">
        <v>769</v>
      </c>
      <c r="Q297" s="5">
        <v>0.83</v>
      </c>
    </row>
    <row r="298" spans="1:17">
      <c r="A298" s="3">
        <v>296</v>
      </c>
      <c r="B298" s="2" t="s">
        <v>214</v>
      </c>
      <c r="C298" s="2" t="s">
        <v>19</v>
      </c>
      <c r="D298" s="2" t="s">
        <v>215</v>
      </c>
      <c r="E298" s="2" t="s">
        <v>35</v>
      </c>
      <c r="F298" s="4">
        <v>39.4</v>
      </c>
      <c r="G298" s="4">
        <v>3213</v>
      </c>
      <c r="H298" s="2" t="s">
        <v>39</v>
      </c>
      <c r="I298" s="2" t="s">
        <v>23</v>
      </c>
      <c r="J298" s="3">
        <v>210</v>
      </c>
      <c r="K298" s="5">
        <v>1.07</v>
      </c>
      <c r="L298" s="4">
        <v>11.4</v>
      </c>
      <c r="M298" s="4">
        <v>2815.6</v>
      </c>
      <c r="N298" s="4">
        <v>30.5</v>
      </c>
      <c r="O298" s="4">
        <v>11.3</v>
      </c>
      <c r="P298" s="4">
        <v>209.8</v>
      </c>
      <c r="Q298" s="5">
        <v>0.23</v>
      </c>
    </row>
    <row r="299" spans="1:17">
      <c r="A299" s="3">
        <v>297</v>
      </c>
      <c r="B299" s="2" t="s">
        <v>214</v>
      </c>
      <c r="C299" s="2" t="s">
        <v>78</v>
      </c>
      <c r="D299" s="2" t="s">
        <v>215</v>
      </c>
      <c r="E299" s="2" t="s">
        <v>35</v>
      </c>
      <c r="F299" s="4">
        <v>25.5</v>
      </c>
      <c r="G299" s="4">
        <v>3122.8</v>
      </c>
      <c r="H299" s="2" t="s">
        <v>39</v>
      </c>
      <c r="I299" s="2" t="s">
        <v>23</v>
      </c>
      <c r="J299" s="3">
        <v>210</v>
      </c>
      <c r="K299" s="5">
        <v>1.08</v>
      </c>
      <c r="L299" s="4">
        <v>44.9</v>
      </c>
      <c r="M299" s="4">
        <v>2803.5</v>
      </c>
      <c r="N299" s="4">
        <v>30.7</v>
      </c>
      <c r="O299" s="4">
        <v>11.3</v>
      </c>
      <c r="P299" s="4">
        <v>825.7</v>
      </c>
      <c r="Q299" s="5">
        <v>0.89</v>
      </c>
    </row>
    <row r="300" spans="1:17">
      <c r="A300" s="3">
        <v>298</v>
      </c>
      <c r="B300" s="2" t="s">
        <v>217</v>
      </c>
      <c r="C300" s="2" t="s">
        <v>57</v>
      </c>
      <c r="D300" s="2" t="s">
        <v>218</v>
      </c>
      <c r="E300" s="2" t="s">
        <v>35</v>
      </c>
      <c r="F300" s="4">
        <v>10.4</v>
      </c>
      <c r="G300" s="4">
        <v>3909</v>
      </c>
      <c r="H300" s="2" t="s">
        <v>36</v>
      </c>
      <c r="I300" s="2" t="s">
        <v>23</v>
      </c>
      <c r="J300" s="3">
        <v>250</v>
      </c>
      <c r="K300" s="5">
        <v>1.08</v>
      </c>
      <c r="L300" s="4">
        <v>75.3</v>
      </c>
      <c r="M300" s="4">
        <v>2834.5</v>
      </c>
      <c r="N300" s="4">
        <v>30.3</v>
      </c>
      <c r="O300" s="4">
        <v>10.8</v>
      </c>
      <c r="P300" s="4">
        <v>1648</v>
      </c>
      <c r="Q300" s="5">
        <v>1.77</v>
      </c>
    </row>
    <row r="301" spans="1:17">
      <c r="A301" s="3">
        <v>299</v>
      </c>
      <c r="B301" s="2" t="s">
        <v>118</v>
      </c>
      <c r="C301" s="2" t="s">
        <v>33</v>
      </c>
      <c r="D301" s="2" t="s">
        <v>119</v>
      </c>
      <c r="E301" s="2" t="s">
        <v>35</v>
      </c>
      <c r="F301" s="4">
        <v>16.7</v>
      </c>
      <c r="G301" s="4">
        <v>3257</v>
      </c>
      <c r="H301" s="2" t="s">
        <v>39</v>
      </c>
      <c r="I301" s="2" t="s">
        <v>23</v>
      </c>
      <c r="J301" s="3">
        <v>210</v>
      </c>
      <c r="K301" s="5">
        <v>1.08</v>
      </c>
      <c r="L301" s="4">
        <v>67.5</v>
      </c>
      <c r="M301" s="4">
        <v>2832.6</v>
      </c>
      <c r="N301" s="4">
        <v>30.4</v>
      </c>
      <c r="O301" s="4">
        <v>9.1</v>
      </c>
      <c r="P301" s="4">
        <v>1242.2</v>
      </c>
      <c r="Q301" s="5">
        <v>1.34</v>
      </c>
    </row>
    <row r="302" spans="1:17">
      <c r="A302" s="3">
        <v>300</v>
      </c>
      <c r="B302" s="2" t="s">
        <v>214</v>
      </c>
      <c r="C302" s="2" t="s">
        <v>33</v>
      </c>
      <c r="D302" s="2" t="s">
        <v>215</v>
      </c>
      <c r="E302" s="2" t="s">
        <v>35</v>
      </c>
      <c r="F302" s="4">
        <v>29.9</v>
      </c>
      <c r="G302" s="4">
        <v>3126.7</v>
      </c>
      <c r="H302" s="2" t="s">
        <v>39</v>
      </c>
      <c r="I302" s="2" t="s">
        <v>23</v>
      </c>
      <c r="J302" s="3">
        <v>210</v>
      </c>
      <c r="K302" s="5">
        <v>1.08</v>
      </c>
      <c r="L302" s="4">
        <v>45.3</v>
      </c>
      <c r="M302" s="4">
        <v>2806.9</v>
      </c>
      <c r="N302" s="4">
        <v>30.6</v>
      </c>
      <c r="O302" s="4">
        <v>11.3</v>
      </c>
      <c r="P302" s="4">
        <v>834.2</v>
      </c>
      <c r="Q302" s="5">
        <v>0.9</v>
      </c>
    </row>
    <row r="303" spans="1:17">
      <c r="A303" s="3">
        <v>301</v>
      </c>
      <c r="B303" s="2" t="s">
        <v>219</v>
      </c>
      <c r="C303" s="2" t="s">
        <v>24</v>
      </c>
      <c r="D303" s="2" t="s">
        <v>220</v>
      </c>
      <c r="E303" s="2" t="s">
        <v>35</v>
      </c>
      <c r="F303" s="4">
        <v>8.4</v>
      </c>
      <c r="G303" s="4">
        <v>3472</v>
      </c>
      <c r="H303" s="2" t="s">
        <v>39</v>
      </c>
      <c r="I303" s="2" t="s">
        <v>23</v>
      </c>
      <c r="J303" s="3">
        <v>500</v>
      </c>
      <c r="K303" s="5">
        <v>1.08</v>
      </c>
      <c r="L303" s="4">
        <v>42</v>
      </c>
      <c r="M303" s="4">
        <v>2835.7</v>
      </c>
      <c r="N303" s="4">
        <v>30.3</v>
      </c>
      <c r="O303" s="4">
        <v>6.6</v>
      </c>
      <c r="P303" s="4">
        <v>1839</v>
      </c>
      <c r="Q303" s="5">
        <v>1.98</v>
      </c>
    </row>
    <row r="304" spans="1:17">
      <c r="A304" s="3">
        <v>302</v>
      </c>
      <c r="B304" s="2" t="s">
        <v>123</v>
      </c>
      <c r="C304" s="2" t="s">
        <v>41</v>
      </c>
      <c r="D304" s="2" t="s">
        <v>46</v>
      </c>
      <c r="E304" s="2" t="s">
        <v>47</v>
      </c>
      <c r="F304" s="4">
        <v>25.5</v>
      </c>
      <c r="G304" s="4">
        <v>3732</v>
      </c>
      <c r="H304" s="2" t="s">
        <v>36</v>
      </c>
      <c r="I304" s="2" t="s">
        <v>23</v>
      </c>
      <c r="J304" s="3">
        <v>210</v>
      </c>
      <c r="K304" s="5">
        <v>1.08</v>
      </c>
      <c r="L304" s="4">
        <v>61.1</v>
      </c>
      <c r="M304" s="4">
        <v>2827</v>
      </c>
      <c r="N304" s="4">
        <v>30.4</v>
      </c>
      <c r="O304" s="4">
        <v>10</v>
      </c>
      <c r="P304" s="4">
        <v>1123.2</v>
      </c>
      <c r="Q304" s="5">
        <v>1.21</v>
      </c>
    </row>
    <row r="305" spans="1:17">
      <c r="A305" s="3">
        <v>303</v>
      </c>
      <c r="B305" s="2" t="s">
        <v>213</v>
      </c>
      <c r="C305" s="2" t="s">
        <v>19</v>
      </c>
      <c r="D305" s="2" t="s">
        <v>142</v>
      </c>
      <c r="E305" s="2" t="s">
        <v>35</v>
      </c>
      <c r="F305" s="4">
        <v>14.8</v>
      </c>
      <c r="G305" s="4">
        <v>3671.3</v>
      </c>
      <c r="H305" s="2" t="s">
        <v>36</v>
      </c>
      <c r="I305" s="2" t="s">
        <v>23</v>
      </c>
      <c r="J305" s="3">
        <v>250</v>
      </c>
      <c r="K305" s="5">
        <v>1.08</v>
      </c>
      <c r="L305" s="4">
        <v>69.900000000000006</v>
      </c>
      <c r="M305" s="4">
        <v>2839.1</v>
      </c>
      <c r="N305" s="4">
        <v>30.3</v>
      </c>
      <c r="O305" s="4">
        <v>10.4</v>
      </c>
      <c r="P305" s="4">
        <v>1531.2</v>
      </c>
      <c r="Q305" s="5">
        <v>1.65</v>
      </c>
    </row>
    <row r="306" spans="1:17">
      <c r="A306" s="3">
        <v>304</v>
      </c>
      <c r="B306" s="2" t="s">
        <v>189</v>
      </c>
      <c r="C306" s="2" t="s">
        <v>19</v>
      </c>
      <c r="D306" s="2" t="s">
        <v>144</v>
      </c>
      <c r="E306" s="2" t="s">
        <v>35</v>
      </c>
      <c r="F306" s="4">
        <v>11.4</v>
      </c>
      <c r="G306" s="4">
        <v>3085.1</v>
      </c>
      <c r="H306" s="2" t="s">
        <v>39</v>
      </c>
      <c r="I306" s="2" t="s">
        <v>23</v>
      </c>
      <c r="J306" s="3">
        <v>600</v>
      </c>
      <c r="K306" s="5">
        <v>1.08</v>
      </c>
      <c r="L306" s="4">
        <v>38.700000000000003</v>
      </c>
      <c r="M306" s="4">
        <v>2844.2</v>
      </c>
      <c r="N306" s="4">
        <v>30.2</v>
      </c>
      <c r="O306" s="4">
        <v>8.9</v>
      </c>
      <c r="P306" s="4">
        <v>2033.4</v>
      </c>
      <c r="Q306" s="5">
        <v>2.19</v>
      </c>
    </row>
    <row r="307" spans="1:17">
      <c r="A307" s="3">
        <v>305</v>
      </c>
      <c r="B307" s="2" t="s">
        <v>221</v>
      </c>
      <c r="C307" s="2" t="s">
        <v>45</v>
      </c>
      <c r="D307" s="2" t="s">
        <v>114</v>
      </c>
      <c r="E307" s="2" t="s">
        <v>35</v>
      </c>
      <c r="F307" s="4">
        <v>19.899999999999999</v>
      </c>
      <c r="G307" s="4">
        <v>3712.7</v>
      </c>
      <c r="H307" s="2" t="s">
        <v>36</v>
      </c>
      <c r="I307" s="2" t="s">
        <v>23</v>
      </c>
      <c r="J307" s="3">
        <v>250</v>
      </c>
      <c r="K307" s="5">
        <v>1.08</v>
      </c>
      <c r="L307" s="4">
        <v>76.599999999999994</v>
      </c>
      <c r="M307" s="4">
        <v>2856</v>
      </c>
      <c r="N307" s="4">
        <v>30.1</v>
      </c>
      <c r="O307" s="4">
        <v>9.1999999999999993</v>
      </c>
      <c r="P307" s="4">
        <v>1678.5</v>
      </c>
      <c r="Q307" s="5">
        <v>1.81</v>
      </c>
    </row>
    <row r="308" spans="1:17">
      <c r="A308" s="3">
        <v>306</v>
      </c>
      <c r="B308" s="2" t="s">
        <v>200</v>
      </c>
      <c r="C308" s="2" t="s">
        <v>51</v>
      </c>
      <c r="D308" s="2" t="s">
        <v>119</v>
      </c>
      <c r="E308" s="2" t="s">
        <v>35</v>
      </c>
      <c r="F308" s="4">
        <v>29.4</v>
      </c>
      <c r="G308" s="4">
        <v>2945</v>
      </c>
      <c r="H308" s="2" t="s">
        <v>43</v>
      </c>
      <c r="I308" s="2" t="s">
        <v>23</v>
      </c>
      <c r="J308" s="3">
        <v>210</v>
      </c>
      <c r="K308" s="5">
        <v>1.08</v>
      </c>
      <c r="L308" s="4">
        <v>69.5</v>
      </c>
      <c r="M308" s="4">
        <v>2836.8</v>
      </c>
      <c r="N308" s="4">
        <v>30.3</v>
      </c>
      <c r="O308" s="4">
        <v>10.199999999999999</v>
      </c>
      <c r="P308" s="4">
        <v>1279</v>
      </c>
      <c r="Q308" s="5">
        <v>1.38</v>
      </c>
    </row>
    <row r="309" spans="1:17">
      <c r="A309" s="3">
        <v>307</v>
      </c>
      <c r="B309" s="2" t="s">
        <v>213</v>
      </c>
      <c r="C309" s="2" t="s">
        <v>33</v>
      </c>
      <c r="D309" s="2" t="s">
        <v>142</v>
      </c>
      <c r="E309" s="2" t="s">
        <v>35</v>
      </c>
      <c r="F309" s="4">
        <v>10.1</v>
      </c>
      <c r="G309" s="4">
        <v>3612.7</v>
      </c>
      <c r="H309" s="2" t="s">
        <v>36</v>
      </c>
      <c r="I309" s="2" t="s">
        <v>23</v>
      </c>
      <c r="J309" s="3">
        <v>250</v>
      </c>
      <c r="K309" s="5">
        <v>1.08</v>
      </c>
      <c r="L309" s="4">
        <v>22.6</v>
      </c>
      <c r="M309" s="4">
        <v>2831.7</v>
      </c>
      <c r="N309" s="4">
        <v>30.4</v>
      </c>
      <c r="O309" s="4">
        <v>11.7</v>
      </c>
      <c r="P309" s="4">
        <v>495.5</v>
      </c>
      <c r="Q309" s="5">
        <v>0.53</v>
      </c>
    </row>
    <row r="310" spans="1:17">
      <c r="A310" s="3">
        <v>308</v>
      </c>
      <c r="B310" s="2" t="s">
        <v>139</v>
      </c>
      <c r="C310" s="2" t="s">
        <v>41</v>
      </c>
      <c r="D310" s="2" t="s">
        <v>93</v>
      </c>
      <c r="E310" s="2" t="s">
        <v>35</v>
      </c>
      <c r="F310" s="4">
        <v>23.4</v>
      </c>
      <c r="G310" s="4">
        <v>4253</v>
      </c>
      <c r="H310" s="2" t="s">
        <v>29</v>
      </c>
      <c r="I310" s="2" t="s">
        <v>23</v>
      </c>
      <c r="J310" s="3">
        <v>210</v>
      </c>
      <c r="K310" s="5">
        <v>1.08</v>
      </c>
      <c r="L310" s="4">
        <v>79.7</v>
      </c>
      <c r="M310" s="4">
        <v>2849.8</v>
      </c>
      <c r="N310" s="4">
        <v>30.2</v>
      </c>
      <c r="O310" s="4">
        <v>8.5</v>
      </c>
      <c r="P310" s="4">
        <v>1467</v>
      </c>
      <c r="Q310" s="5">
        <v>1.59</v>
      </c>
    </row>
    <row r="311" spans="1:17">
      <c r="A311" s="3">
        <v>309</v>
      </c>
      <c r="B311" s="2" t="s">
        <v>222</v>
      </c>
      <c r="C311" s="2" t="s">
        <v>19</v>
      </c>
      <c r="D311" s="2" t="s">
        <v>144</v>
      </c>
      <c r="E311" s="2" t="s">
        <v>35</v>
      </c>
      <c r="F311" s="4">
        <v>45.1</v>
      </c>
      <c r="G311" s="4">
        <v>2850</v>
      </c>
      <c r="H311" s="2" t="s">
        <v>43</v>
      </c>
      <c r="I311" s="2" t="s">
        <v>23</v>
      </c>
      <c r="J311" s="3">
        <v>210</v>
      </c>
      <c r="K311" s="5">
        <v>1.08</v>
      </c>
      <c r="L311" s="4">
        <v>67.3</v>
      </c>
      <c r="M311" s="4">
        <v>2842</v>
      </c>
      <c r="N311" s="4">
        <v>30.3</v>
      </c>
      <c r="O311" s="4">
        <v>8.6999999999999993</v>
      </c>
      <c r="P311" s="4">
        <v>1237.3</v>
      </c>
      <c r="Q311" s="5">
        <v>1.34</v>
      </c>
    </row>
    <row r="312" spans="1:17">
      <c r="A312" s="3">
        <v>310</v>
      </c>
      <c r="B312" s="2" t="s">
        <v>212</v>
      </c>
      <c r="C312" s="2" t="s">
        <v>45</v>
      </c>
      <c r="D312" s="2" t="s">
        <v>58</v>
      </c>
      <c r="E312" s="2" t="s">
        <v>35</v>
      </c>
      <c r="F312" s="4">
        <v>14.5</v>
      </c>
      <c r="G312" s="4">
        <v>3268</v>
      </c>
      <c r="H312" s="2" t="s">
        <v>39</v>
      </c>
      <c r="I312" s="2" t="s">
        <v>23</v>
      </c>
      <c r="J312" s="3">
        <v>250</v>
      </c>
      <c r="K312" s="5">
        <v>1.08</v>
      </c>
      <c r="L312" s="4">
        <v>53.5</v>
      </c>
      <c r="M312" s="4">
        <v>2810.3</v>
      </c>
      <c r="N312" s="4">
        <v>30.6</v>
      </c>
      <c r="O312" s="4">
        <v>11.4</v>
      </c>
      <c r="P312" s="4">
        <v>1171</v>
      </c>
      <c r="Q312" s="5">
        <v>1.27</v>
      </c>
    </row>
    <row r="313" spans="1:17">
      <c r="A313" s="3">
        <v>311</v>
      </c>
      <c r="B313" s="2" t="s">
        <v>190</v>
      </c>
      <c r="C313" s="2" t="s">
        <v>19</v>
      </c>
      <c r="D313" s="2" t="s">
        <v>191</v>
      </c>
      <c r="E313" s="2" t="s">
        <v>21</v>
      </c>
      <c r="F313" s="4">
        <v>15.2</v>
      </c>
      <c r="G313" s="4">
        <v>3387.4</v>
      </c>
      <c r="H313" s="2" t="s">
        <v>39</v>
      </c>
      <c r="I313" s="2" t="s">
        <v>23</v>
      </c>
      <c r="J313" s="3">
        <v>300</v>
      </c>
      <c r="K313" s="5">
        <v>1.08</v>
      </c>
      <c r="L313" s="4">
        <v>54.9</v>
      </c>
      <c r="M313" s="4">
        <v>2856.7</v>
      </c>
      <c r="N313" s="4">
        <v>30.1</v>
      </c>
      <c r="O313" s="4">
        <v>8.6999999999999993</v>
      </c>
      <c r="P313" s="4">
        <v>1443.1</v>
      </c>
      <c r="Q313" s="5">
        <v>1.56</v>
      </c>
    </row>
    <row r="314" spans="1:17">
      <c r="A314" s="3">
        <v>312</v>
      </c>
      <c r="B314" s="2" t="s">
        <v>221</v>
      </c>
      <c r="C314" s="2" t="s">
        <v>57</v>
      </c>
      <c r="D314" s="2" t="s">
        <v>114</v>
      </c>
      <c r="E314" s="2" t="s">
        <v>35</v>
      </c>
      <c r="F314" s="4">
        <v>19.5</v>
      </c>
      <c r="G314" s="4">
        <v>3718.8</v>
      </c>
      <c r="H314" s="2" t="s">
        <v>36</v>
      </c>
      <c r="I314" s="2" t="s">
        <v>23</v>
      </c>
      <c r="J314" s="3">
        <v>250</v>
      </c>
      <c r="K314" s="5">
        <v>1.0900000000000001</v>
      </c>
      <c r="L314" s="4">
        <v>69.400000000000006</v>
      </c>
      <c r="M314" s="4">
        <v>2873.3</v>
      </c>
      <c r="N314" s="4">
        <v>29.9</v>
      </c>
      <c r="O314" s="4">
        <v>9.4</v>
      </c>
      <c r="P314" s="4">
        <v>1520.5</v>
      </c>
      <c r="Q314" s="5">
        <v>1.65</v>
      </c>
    </row>
    <row r="315" spans="1:17">
      <c r="A315" s="3">
        <v>313</v>
      </c>
      <c r="B315" s="2" t="s">
        <v>213</v>
      </c>
      <c r="C315" s="2" t="s">
        <v>24</v>
      </c>
      <c r="D315" s="2" t="s">
        <v>142</v>
      </c>
      <c r="E315" s="2" t="s">
        <v>35</v>
      </c>
      <c r="F315" s="4">
        <v>14.3</v>
      </c>
      <c r="G315" s="4">
        <v>3670.2</v>
      </c>
      <c r="H315" s="2" t="s">
        <v>36</v>
      </c>
      <c r="I315" s="2" t="s">
        <v>23</v>
      </c>
      <c r="J315" s="3">
        <v>250</v>
      </c>
      <c r="K315" s="5">
        <v>1.0900000000000001</v>
      </c>
      <c r="L315" s="4">
        <v>60.7</v>
      </c>
      <c r="M315" s="4">
        <v>2862.2</v>
      </c>
      <c r="N315" s="4">
        <v>30</v>
      </c>
      <c r="O315" s="4">
        <v>10.5</v>
      </c>
      <c r="P315" s="4">
        <v>1329.2</v>
      </c>
      <c r="Q315" s="5">
        <v>1.45</v>
      </c>
    </row>
    <row r="316" spans="1:17">
      <c r="A316" s="3">
        <v>314</v>
      </c>
      <c r="B316" s="2" t="s">
        <v>214</v>
      </c>
      <c r="C316" s="2" t="s">
        <v>24</v>
      </c>
      <c r="D316" s="2" t="s">
        <v>215</v>
      </c>
      <c r="E316" s="2" t="s">
        <v>35</v>
      </c>
      <c r="F316" s="4">
        <v>38.4</v>
      </c>
      <c r="G316" s="4">
        <v>3138.4</v>
      </c>
      <c r="H316" s="2" t="s">
        <v>39</v>
      </c>
      <c r="I316" s="2" t="s">
        <v>23</v>
      </c>
      <c r="J316" s="3">
        <v>210</v>
      </c>
      <c r="K316" s="5">
        <v>1.0900000000000001</v>
      </c>
      <c r="L316" s="4">
        <v>26.5</v>
      </c>
      <c r="M316" s="4">
        <v>2816.8</v>
      </c>
      <c r="N316" s="4">
        <v>30.5</v>
      </c>
      <c r="O316" s="4">
        <v>11.3</v>
      </c>
      <c r="P316" s="4">
        <v>488.2</v>
      </c>
      <c r="Q316" s="5">
        <v>0.53</v>
      </c>
    </row>
    <row r="317" spans="1:17">
      <c r="A317" s="3">
        <v>315</v>
      </c>
      <c r="B317" s="2" t="s">
        <v>223</v>
      </c>
      <c r="C317" s="2" t="s">
        <v>41</v>
      </c>
      <c r="D317" s="2" t="s">
        <v>162</v>
      </c>
      <c r="E317" s="2" t="s">
        <v>35</v>
      </c>
      <c r="F317" s="4">
        <v>40.4</v>
      </c>
      <c r="G317" s="4">
        <v>3630.4</v>
      </c>
      <c r="H317" s="2" t="s">
        <v>36</v>
      </c>
      <c r="I317" s="2" t="s">
        <v>23</v>
      </c>
      <c r="J317" s="3">
        <v>210</v>
      </c>
      <c r="K317" s="5">
        <v>1.0900000000000001</v>
      </c>
      <c r="L317" s="4">
        <v>46</v>
      </c>
      <c r="M317" s="4">
        <v>2747.9</v>
      </c>
      <c r="N317" s="4">
        <v>31.3</v>
      </c>
      <c r="O317" s="4">
        <v>9.8000000000000007</v>
      </c>
      <c r="P317" s="4">
        <v>847</v>
      </c>
      <c r="Q317" s="5">
        <v>0.92</v>
      </c>
    </row>
    <row r="318" spans="1:17">
      <c r="A318" s="3">
        <v>316</v>
      </c>
      <c r="B318" s="2" t="s">
        <v>224</v>
      </c>
      <c r="C318" s="2" t="s">
        <v>41</v>
      </c>
      <c r="D318" s="2" t="s">
        <v>162</v>
      </c>
      <c r="E318" s="2" t="s">
        <v>35</v>
      </c>
      <c r="F318" s="4">
        <v>34.4</v>
      </c>
      <c r="G318" s="4">
        <v>3653.3</v>
      </c>
      <c r="H318" s="2" t="s">
        <v>36</v>
      </c>
      <c r="I318" s="2" t="s">
        <v>23</v>
      </c>
      <c r="J318" s="3">
        <v>210</v>
      </c>
      <c r="K318" s="5">
        <v>1.0900000000000001</v>
      </c>
      <c r="L318" s="4">
        <v>66.3</v>
      </c>
      <c r="M318" s="4">
        <v>2837.9</v>
      </c>
      <c r="N318" s="4">
        <v>30.3</v>
      </c>
      <c r="O318" s="4">
        <v>10.5</v>
      </c>
      <c r="P318" s="4">
        <v>1220</v>
      </c>
      <c r="Q318" s="5">
        <v>1.33</v>
      </c>
    </row>
    <row r="319" spans="1:17">
      <c r="A319" s="3">
        <v>317</v>
      </c>
      <c r="B319" s="2" t="s">
        <v>118</v>
      </c>
      <c r="C319" s="2" t="s">
        <v>78</v>
      </c>
      <c r="D319" s="2" t="s">
        <v>119</v>
      </c>
      <c r="E319" s="2" t="s">
        <v>35</v>
      </c>
      <c r="F319" s="4">
        <v>13.6</v>
      </c>
      <c r="G319" s="4">
        <v>3234</v>
      </c>
      <c r="H319" s="2" t="s">
        <v>39</v>
      </c>
      <c r="I319" s="2" t="s">
        <v>23</v>
      </c>
      <c r="J319" s="3">
        <v>210</v>
      </c>
      <c r="K319" s="5">
        <v>1.0900000000000001</v>
      </c>
      <c r="L319" s="4">
        <v>66.2</v>
      </c>
      <c r="M319" s="4">
        <v>2876.4</v>
      </c>
      <c r="N319" s="4">
        <v>29.9</v>
      </c>
      <c r="O319" s="4">
        <v>10.6</v>
      </c>
      <c r="P319" s="4">
        <v>1218.5</v>
      </c>
      <c r="Q319" s="5">
        <v>1.33</v>
      </c>
    </row>
    <row r="320" spans="1:17">
      <c r="A320" s="3">
        <v>318</v>
      </c>
      <c r="B320" s="2" t="s">
        <v>207</v>
      </c>
      <c r="C320" s="2" t="s">
        <v>24</v>
      </c>
      <c r="D320" s="2" t="s">
        <v>208</v>
      </c>
      <c r="E320" s="2" t="s">
        <v>35</v>
      </c>
      <c r="F320" s="4">
        <v>27.8</v>
      </c>
      <c r="G320" s="4">
        <v>3469</v>
      </c>
      <c r="H320" s="2" t="s">
        <v>39</v>
      </c>
      <c r="I320" s="2" t="s">
        <v>23</v>
      </c>
      <c r="J320" s="3">
        <v>210</v>
      </c>
      <c r="K320" s="5">
        <v>1.0900000000000001</v>
      </c>
      <c r="L320" s="4">
        <v>63.4</v>
      </c>
      <c r="M320" s="4">
        <v>2876.8</v>
      </c>
      <c r="N320" s="4">
        <v>29.9</v>
      </c>
      <c r="O320" s="4">
        <v>10.4</v>
      </c>
      <c r="P320" s="4">
        <v>1165.7</v>
      </c>
      <c r="Q320" s="5">
        <v>1.27</v>
      </c>
    </row>
    <row r="321" spans="1:17">
      <c r="A321" s="3">
        <v>319</v>
      </c>
      <c r="B321" s="2" t="s">
        <v>225</v>
      </c>
      <c r="C321" s="2" t="s">
        <v>19</v>
      </c>
      <c r="D321" s="2" t="s">
        <v>226</v>
      </c>
      <c r="E321" s="2" t="s">
        <v>21</v>
      </c>
      <c r="F321" s="4">
        <v>8.4</v>
      </c>
      <c r="G321" s="4">
        <v>3722.9</v>
      </c>
      <c r="H321" s="2" t="s">
        <v>36</v>
      </c>
      <c r="I321" s="2" t="s">
        <v>23</v>
      </c>
      <c r="J321" s="3">
        <v>270</v>
      </c>
      <c r="K321" s="5">
        <v>1.0900000000000001</v>
      </c>
      <c r="L321" s="4">
        <v>41.7</v>
      </c>
      <c r="M321" s="4">
        <v>2876.7</v>
      </c>
      <c r="N321" s="4">
        <v>29.9</v>
      </c>
      <c r="O321" s="4">
        <v>9.6</v>
      </c>
      <c r="P321" s="4">
        <v>986.1</v>
      </c>
      <c r="Q321" s="5">
        <v>1.08</v>
      </c>
    </row>
    <row r="322" spans="1:17">
      <c r="A322" s="3">
        <v>320</v>
      </c>
      <c r="B322" s="2" t="s">
        <v>222</v>
      </c>
      <c r="C322" s="2" t="s">
        <v>33</v>
      </c>
      <c r="D322" s="2" t="s">
        <v>144</v>
      </c>
      <c r="E322" s="2" t="s">
        <v>35</v>
      </c>
      <c r="F322" s="4">
        <v>32.5</v>
      </c>
      <c r="G322" s="4">
        <v>2835</v>
      </c>
      <c r="H322" s="2" t="s">
        <v>43</v>
      </c>
      <c r="I322" s="2" t="s">
        <v>23</v>
      </c>
      <c r="J322" s="3">
        <v>210</v>
      </c>
      <c r="K322" s="5">
        <v>1.0900000000000001</v>
      </c>
      <c r="L322" s="4">
        <v>56.7</v>
      </c>
      <c r="M322" s="4">
        <v>2861.7</v>
      </c>
      <c r="N322" s="4">
        <v>30</v>
      </c>
      <c r="O322" s="4">
        <v>9.6999999999999993</v>
      </c>
      <c r="P322" s="4">
        <v>1043.5</v>
      </c>
      <c r="Q322" s="5">
        <v>1.1399999999999999</v>
      </c>
    </row>
    <row r="323" spans="1:17">
      <c r="A323" s="3">
        <v>321</v>
      </c>
      <c r="B323" s="2" t="s">
        <v>200</v>
      </c>
      <c r="C323" s="2" t="s">
        <v>33</v>
      </c>
      <c r="D323" s="2" t="s">
        <v>119</v>
      </c>
      <c r="E323" s="2" t="s">
        <v>35</v>
      </c>
      <c r="F323" s="4">
        <v>34</v>
      </c>
      <c r="G323" s="4">
        <v>2867</v>
      </c>
      <c r="H323" s="2" t="s">
        <v>43</v>
      </c>
      <c r="I323" s="2" t="s">
        <v>23</v>
      </c>
      <c r="J323" s="3">
        <v>210</v>
      </c>
      <c r="K323" s="5">
        <v>1.1000000000000001</v>
      </c>
      <c r="L323" s="4">
        <v>66.400000000000006</v>
      </c>
      <c r="M323" s="4">
        <v>2874</v>
      </c>
      <c r="N323" s="4">
        <v>29.9</v>
      </c>
      <c r="O323" s="4">
        <v>10.1</v>
      </c>
      <c r="P323" s="4">
        <v>1222</v>
      </c>
      <c r="Q323" s="5">
        <v>1.34</v>
      </c>
    </row>
    <row r="324" spans="1:17">
      <c r="A324" s="3">
        <v>322</v>
      </c>
      <c r="B324" s="2" t="s">
        <v>219</v>
      </c>
      <c r="C324" s="2" t="s">
        <v>19</v>
      </c>
      <c r="D324" s="2" t="s">
        <v>220</v>
      </c>
      <c r="E324" s="2" t="s">
        <v>35</v>
      </c>
      <c r="F324" s="4">
        <v>10.4</v>
      </c>
      <c r="G324" s="4">
        <v>3472</v>
      </c>
      <c r="H324" s="2" t="s">
        <v>39</v>
      </c>
      <c r="I324" s="2" t="s">
        <v>23</v>
      </c>
      <c r="J324" s="3">
        <v>500</v>
      </c>
      <c r="K324" s="5">
        <v>1.1000000000000001</v>
      </c>
      <c r="L324" s="4">
        <v>51.7</v>
      </c>
      <c r="M324" s="4">
        <v>2887.7</v>
      </c>
      <c r="N324" s="4">
        <v>29.8</v>
      </c>
      <c r="O324" s="4">
        <v>6</v>
      </c>
      <c r="P324" s="4">
        <v>2264</v>
      </c>
      <c r="Q324" s="5">
        <v>2.48</v>
      </c>
    </row>
    <row r="325" spans="1:17">
      <c r="A325" s="3">
        <v>323</v>
      </c>
      <c r="B325" s="2" t="s">
        <v>200</v>
      </c>
      <c r="C325" s="2" t="s">
        <v>24</v>
      </c>
      <c r="D325" s="2" t="s">
        <v>119</v>
      </c>
      <c r="E325" s="2" t="s">
        <v>35</v>
      </c>
      <c r="F325" s="4">
        <v>43.8</v>
      </c>
      <c r="G325" s="4">
        <v>2829</v>
      </c>
      <c r="H325" s="2" t="s">
        <v>43</v>
      </c>
      <c r="I325" s="2" t="s">
        <v>23</v>
      </c>
      <c r="J325" s="3">
        <v>210</v>
      </c>
      <c r="K325" s="5">
        <v>1.1000000000000001</v>
      </c>
      <c r="L325" s="4">
        <v>65.3</v>
      </c>
      <c r="M325" s="4">
        <v>2880.8</v>
      </c>
      <c r="N325" s="4">
        <v>29.8</v>
      </c>
      <c r="O325" s="4">
        <v>10</v>
      </c>
      <c r="P325" s="4">
        <v>1202</v>
      </c>
      <c r="Q325" s="5">
        <v>1.32</v>
      </c>
    </row>
    <row r="326" spans="1:17">
      <c r="A326" s="3">
        <v>324</v>
      </c>
      <c r="B326" s="2" t="s">
        <v>222</v>
      </c>
      <c r="C326" s="2" t="s">
        <v>41</v>
      </c>
      <c r="D326" s="2" t="s">
        <v>144</v>
      </c>
      <c r="E326" s="2" t="s">
        <v>35</v>
      </c>
      <c r="F326" s="4">
        <v>42.3</v>
      </c>
      <c r="G326" s="4">
        <v>2840</v>
      </c>
      <c r="H326" s="2" t="s">
        <v>43</v>
      </c>
      <c r="I326" s="2" t="s">
        <v>23</v>
      </c>
      <c r="J326" s="3">
        <v>210</v>
      </c>
      <c r="K326" s="5">
        <v>1.1000000000000001</v>
      </c>
      <c r="L326" s="4">
        <v>54.7</v>
      </c>
      <c r="M326" s="4">
        <v>2868.3</v>
      </c>
      <c r="N326" s="4">
        <v>30</v>
      </c>
      <c r="O326" s="4">
        <v>9.1</v>
      </c>
      <c r="P326" s="4">
        <v>1006.2</v>
      </c>
      <c r="Q326" s="5">
        <v>1.1000000000000001</v>
      </c>
    </row>
    <row r="327" spans="1:17">
      <c r="A327" s="3">
        <v>325</v>
      </c>
      <c r="B327" s="2" t="s">
        <v>227</v>
      </c>
      <c r="C327" s="2" t="s">
        <v>78</v>
      </c>
      <c r="D327" s="2" t="s">
        <v>126</v>
      </c>
      <c r="E327" s="2" t="s">
        <v>35</v>
      </c>
      <c r="F327" s="4">
        <v>16.100000000000001</v>
      </c>
      <c r="G327" s="4">
        <v>4189</v>
      </c>
      <c r="H327" s="2" t="s">
        <v>29</v>
      </c>
      <c r="I327" s="2" t="s">
        <v>23</v>
      </c>
      <c r="J327" s="3">
        <v>210</v>
      </c>
      <c r="K327" s="5">
        <v>1.1000000000000001</v>
      </c>
      <c r="L327" s="4">
        <v>70.599999999999994</v>
      </c>
      <c r="M327" s="4">
        <v>2891.8</v>
      </c>
      <c r="N327" s="4">
        <v>29.7</v>
      </c>
      <c r="O327" s="4">
        <v>9.4</v>
      </c>
      <c r="P327" s="4">
        <v>1299.0999999999999</v>
      </c>
      <c r="Q327" s="5">
        <v>1.43</v>
      </c>
    </row>
    <row r="328" spans="1:17">
      <c r="A328" s="3">
        <v>326</v>
      </c>
      <c r="B328" s="2" t="s">
        <v>217</v>
      </c>
      <c r="C328" s="2" t="s">
        <v>45</v>
      </c>
      <c r="D328" s="2" t="s">
        <v>218</v>
      </c>
      <c r="E328" s="2" t="s">
        <v>35</v>
      </c>
      <c r="F328" s="4">
        <v>16.7</v>
      </c>
      <c r="G328" s="4">
        <v>3872</v>
      </c>
      <c r="H328" s="2" t="s">
        <v>36</v>
      </c>
      <c r="I328" s="2" t="s">
        <v>23</v>
      </c>
      <c r="J328" s="3">
        <v>300</v>
      </c>
      <c r="K328" s="5">
        <v>1.1000000000000001</v>
      </c>
      <c r="L328" s="4">
        <v>29.2</v>
      </c>
      <c r="M328" s="4">
        <v>2887.6</v>
      </c>
      <c r="N328" s="4">
        <v>29.8</v>
      </c>
      <c r="O328" s="4">
        <v>10.8</v>
      </c>
      <c r="P328" s="4">
        <v>767</v>
      </c>
      <c r="Q328" s="5">
        <v>0.84</v>
      </c>
    </row>
    <row r="329" spans="1:17">
      <c r="A329" s="3">
        <v>327</v>
      </c>
      <c r="B329" s="2" t="s">
        <v>222</v>
      </c>
      <c r="C329" s="2" t="s">
        <v>24</v>
      </c>
      <c r="D329" s="2" t="s">
        <v>144</v>
      </c>
      <c r="E329" s="2" t="s">
        <v>35</v>
      </c>
      <c r="F329" s="4">
        <v>43.6</v>
      </c>
      <c r="G329" s="4">
        <v>2840</v>
      </c>
      <c r="H329" s="2" t="s">
        <v>43</v>
      </c>
      <c r="I329" s="2" t="s">
        <v>23</v>
      </c>
      <c r="J329" s="3">
        <v>210</v>
      </c>
      <c r="K329" s="5">
        <v>1.1000000000000001</v>
      </c>
      <c r="L329" s="4">
        <v>51</v>
      </c>
      <c r="M329" s="4">
        <v>2864.7</v>
      </c>
      <c r="N329" s="4">
        <v>30</v>
      </c>
      <c r="O329" s="4">
        <v>8.6999999999999993</v>
      </c>
      <c r="P329" s="4">
        <v>938.3</v>
      </c>
      <c r="Q329" s="5">
        <v>1.03</v>
      </c>
    </row>
    <row r="330" spans="1:17">
      <c r="A330" s="3">
        <v>328</v>
      </c>
      <c r="B330" s="2" t="s">
        <v>222</v>
      </c>
      <c r="C330" s="2" t="s">
        <v>78</v>
      </c>
      <c r="D330" s="2" t="s">
        <v>144</v>
      </c>
      <c r="E330" s="2" t="s">
        <v>35</v>
      </c>
      <c r="F330" s="4">
        <v>33.4</v>
      </c>
      <c r="G330" s="4">
        <v>2835</v>
      </c>
      <c r="H330" s="2" t="s">
        <v>43</v>
      </c>
      <c r="I330" s="2" t="s">
        <v>23</v>
      </c>
      <c r="J330" s="3">
        <v>210</v>
      </c>
      <c r="K330" s="5">
        <v>1.1000000000000001</v>
      </c>
      <c r="L330" s="4">
        <v>52.6</v>
      </c>
      <c r="M330" s="4">
        <v>2871.9</v>
      </c>
      <c r="N330" s="4">
        <v>29.9</v>
      </c>
      <c r="O330" s="4">
        <v>9.9</v>
      </c>
      <c r="P330" s="4">
        <v>966.9</v>
      </c>
      <c r="Q330" s="5">
        <v>1.06</v>
      </c>
    </row>
    <row r="331" spans="1:17">
      <c r="A331" s="3">
        <v>329</v>
      </c>
      <c r="B331" s="2" t="s">
        <v>123</v>
      </c>
      <c r="C331" s="2" t="s">
        <v>19</v>
      </c>
      <c r="D331" s="2" t="s">
        <v>46</v>
      </c>
      <c r="E331" s="2" t="s">
        <v>47</v>
      </c>
      <c r="F331" s="4">
        <v>35.700000000000003</v>
      </c>
      <c r="G331" s="4">
        <v>3796.4</v>
      </c>
      <c r="H331" s="2" t="s">
        <v>36</v>
      </c>
      <c r="I331" s="2" t="s">
        <v>23</v>
      </c>
      <c r="J331" s="3">
        <v>210</v>
      </c>
      <c r="K331" s="5">
        <v>1.1000000000000001</v>
      </c>
      <c r="L331" s="4">
        <v>43.7</v>
      </c>
      <c r="M331" s="4">
        <v>2912.6</v>
      </c>
      <c r="N331" s="4">
        <v>29.5</v>
      </c>
      <c r="O331" s="4">
        <v>10.4</v>
      </c>
      <c r="P331" s="4">
        <v>803.8</v>
      </c>
      <c r="Q331" s="5">
        <v>0.88</v>
      </c>
    </row>
    <row r="332" spans="1:17">
      <c r="A332" s="3">
        <v>330</v>
      </c>
      <c r="B332" s="2" t="s">
        <v>228</v>
      </c>
      <c r="C332" s="2" t="s">
        <v>71</v>
      </c>
      <c r="D332" s="2" t="s">
        <v>52</v>
      </c>
      <c r="E332" s="2" t="s">
        <v>35</v>
      </c>
      <c r="F332" s="4">
        <v>43.4</v>
      </c>
      <c r="G332" s="4">
        <v>3430</v>
      </c>
      <c r="H332" s="2" t="s">
        <v>39</v>
      </c>
      <c r="I332" s="2" t="s">
        <v>23</v>
      </c>
      <c r="J332" s="3">
        <v>200</v>
      </c>
      <c r="K332" s="5">
        <v>1.1000000000000001</v>
      </c>
      <c r="L332" s="4">
        <v>70.3</v>
      </c>
      <c r="M332" s="4">
        <v>2892.2</v>
      </c>
      <c r="N332" s="4">
        <v>29.7</v>
      </c>
      <c r="O332" s="4">
        <v>9</v>
      </c>
      <c r="P332" s="4">
        <v>1231</v>
      </c>
      <c r="Q332" s="5">
        <v>1.35</v>
      </c>
    </row>
    <row r="333" spans="1:17">
      <c r="A333" s="3">
        <v>331</v>
      </c>
      <c r="B333" s="2" t="s">
        <v>221</v>
      </c>
      <c r="C333" s="2" t="s">
        <v>51</v>
      </c>
      <c r="D333" s="2" t="s">
        <v>114</v>
      </c>
      <c r="E333" s="2" t="s">
        <v>35</v>
      </c>
      <c r="F333" s="4">
        <v>23.3</v>
      </c>
      <c r="G333" s="4">
        <v>3775.7</v>
      </c>
      <c r="H333" s="2" t="s">
        <v>36</v>
      </c>
      <c r="I333" s="2" t="s">
        <v>23</v>
      </c>
      <c r="J333" s="3">
        <v>210</v>
      </c>
      <c r="K333" s="5">
        <v>1.1000000000000001</v>
      </c>
      <c r="L333" s="4">
        <v>65.5</v>
      </c>
      <c r="M333" s="4">
        <v>2914</v>
      </c>
      <c r="N333" s="4">
        <v>29.5</v>
      </c>
      <c r="O333" s="4">
        <v>9.6</v>
      </c>
      <c r="P333" s="4">
        <v>1204.7</v>
      </c>
      <c r="Q333" s="5">
        <v>1.33</v>
      </c>
    </row>
    <row r="334" spans="1:17">
      <c r="A334" s="3">
        <v>332</v>
      </c>
      <c r="B334" s="2" t="s">
        <v>200</v>
      </c>
      <c r="C334" s="2" t="s">
        <v>41</v>
      </c>
      <c r="D334" s="2" t="s">
        <v>119</v>
      </c>
      <c r="E334" s="2" t="s">
        <v>35</v>
      </c>
      <c r="F334" s="4">
        <v>34.799999999999997</v>
      </c>
      <c r="G334" s="4">
        <v>2858</v>
      </c>
      <c r="H334" s="2" t="s">
        <v>43</v>
      </c>
      <c r="I334" s="2" t="s">
        <v>23</v>
      </c>
      <c r="J334" s="3">
        <v>210</v>
      </c>
      <c r="K334" s="5">
        <v>1.1000000000000001</v>
      </c>
      <c r="L334" s="4">
        <v>55.7</v>
      </c>
      <c r="M334" s="4">
        <v>2894.2</v>
      </c>
      <c r="N334" s="4">
        <v>29.7</v>
      </c>
      <c r="O334" s="4">
        <v>10.199999999999999</v>
      </c>
      <c r="P334" s="4">
        <v>1025</v>
      </c>
      <c r="Q334" s="5">
        <v>1.1299999999999999</v>
      </c>
    </row>
    <row r="335" spans="1:17">
      <c r="A335" s="3">
        <v>333</v>
      </c>
      <c r="B335" s="2" t="s">
        <v>118</v>
      </c>
      <c r="C335" s="2" t="s">
        <v>19</v>
      </c>
      <c r="D335" s="2" t="s">
        <v>119</v>
      </c>
      <c r="E335" s="2" t="s">
        <v>35</v>
      </c>
      <c r="F335" s="4">
        <v>30.3</v>
      </c>
      <c r="G335" s="4">
        <v>3240</v>
      </c>
      <c r="H335" s="2" t="s">
        <v>39</v>
      </c>
      <c r="I335" s="2" t="s">
        <v>23</v>
      </c>
      <c r="J335" s="3">
        <v>210</v>
      </c>
      <c r="K335" s="5">
        <v>1.1000000000000001</v>
      </c>
      <c r="L335" s="4">
        <v>63.3</v>
      </c>
      <c r="M335" s="4">
        <v>2901.8</v>
      </c>
      <c r="N335" s="4">
        <v>29.6</v>
      </c>
      <c r="O335" s="4">
        <v>11.6</v>
      </c>
      <c r="P335" s="4">
        <v>1165.2</v>
      </c>
      <c r="Q335" s="5">
        <v>1.29</v>
      </c>
    </row>
    <row r="336" spans="1:17">
      <c r="A336" s="3">
        <v>334</v>
      </c>
      <c r="B336" s="2" t="s">
        <v>229</v>
      </c>
      <c r="C336" s="2" t="s">
        <v>78</v>
      </c>
      <c r="D336" s="2" t="s">
        <v>58</v>
      </c>
      <c r="E336" s="2" t="s">
        <v>35</v>
      </c>
      <c r="F336" s="4">
        <v>13</v>
      </c>
      <c r="G336" s="4">
        <v>3464.8</v>
      </c>
      <c r="H336" s="2" t="s">
        <v>39</v>
      </c>
      <c r="I336" s="2" t="s">
        <v>23</v>
      </c>
      <c r="J336" s="3">
        <v>500</v>
      </c>
      <c r="K336" s="5">
        <v>1.1000000000000001</v>
      </c>
      <c r="L336" s="4">
        <v>73.900000000000006</v>
      </c>
      <c r="M336" s="4">
        <v>2928.6</v>
      </c>
      <c r="N336" s="4">
        <v>29.4</v>
      </c>
      <c r="O336" s="4">
        <v>5.9</v>
      </c>
      <c r="P336" s="4">
        <v>3237</v>
      </c>
      <c r="Q336" s="5">
        <v>3.57</v>
      </c>
    </row>
    <row r="337" spans="1:17">
      <c r="A337" s="3">
        <v>335</v>
      </c>
      <c r="B337" s="2" t="s">
        <v>230</v>
      </c>
      <c r="C337" s="2" t="s">
        <v>24</v>
      </c>
      <c r="D337" s="2" t="s">
        <v>231</v>
      </c>
      <c r="E337" s="2" t="s">
        <v>35</v>
      </c>
      <c r="F337" s="4">
        <v>28.8</v>
      </c>
      <c r="G337" s="4">
        <v>2901</v>
      </c>
      <c r="H337" s="2" t="s">
        <v>43</v>
      </c>
      <c r="I337" s="2" t="s">
        <v>23</v>
      </c>
      <c r="J337" s="3">
        <v>210</v>
      </c>
      <c r="K337" s="5">
        <v>1.1000000000000001</v>
      </c>
      <c r="L337" s="4">
        <v>63</v>
      </c>
      <c r="M337" s="4">
        <v>2904.4</v>
      </c>
      <c r="N337" s="4">
        <v>29.6</v>
      </c>
      <c r="O337" s="4">
        <v>12.1</v>
      </c>
      <c r="P337" s="4">
        <v>1159.8</v>
      </c>
      <c r="Q337" s="5">
        <v>1.28</v>
      </c>
    </row>
    <row r="338" spans="1:17">
      <c r="A338" s="3">
        <v>336</v>
      </c>
      <c r="B338" s="2" t="s">
        <v>223</v>
      </c>
      <c r="C338" s="2" t="s">
        <v>45</v>
      </c>
      <c r="D338" s="2" t="s">
        <v>162</v>
      </c>
      <c r="E338" s="2" t="s">
        <v>35</v>
      </c>
      <c r="F338" s="4">
        <v>25.6</v>
      </c>
      <c r="G338" s="4">
        <v>3650</v>
      </c>
      <c r="H338" s="2" t="s">
        <v>36</v>
      </c>
      <c r="I338" s="2" t="s">
        <v>23</v>
      </c>
      <c r="J338" s="3">
        <v>210</v>
      </c>
      <c r="K338" s="5">
        <v>1.1000000000000001</v>
      </c>
      <c r="L338" s="4">
        <v>61.8</v>
      </c>
      <c r="M338" s="4">
        <v>2880.5</v>
      </c>
      <c r="N338" s="4">
        <v>29.9</v>
      </c>
      <c r="O338" s="4">
        <v>10.5</v>
      </c>
      <c r="P338" s="4">
        <v>1136</v>
      </c>
      <c r="Q338" s="5">
        <v>1.25</v>
      </c>
    </row>
    <row r="339" spans="1:17">
      <c r="A339" s="3">
        <v>337</v>
      </c>
      <c r="B339" s="2" t="s">
        <v>200</v>
      </c>
      <c r="C339" s="2" t="s">
        <v>19</v>
      </c>
      <c r="D339" s="2" t="s">
        <v>119</v>
      </c>
      <c r="E339" s="2" t="s">
        <v>35</v>
      </c>
      <c r="F339" s="4">
        <v>44.8</v>
      </c>
      <c r="G339" s="4">
        <v>2819</v>
      </c>
      <c r="H339" s="2" t="s">
        <v>43</v>
      </c>
      <c r="I339" s="2" t="s">
        <v>23</v>
      </c>
      <c r="J339" s="3">
        <v>210</v>
      </c>
      <c r="K339" s="5">
        <v>1.1100000000000001</v>
      </c>
      <c r="L339" s="4">
        <v>57.7</v>
      </c>
      <c r="M339" s="4">
        <v>2898.6</v>
      </c>
      <c r="N339" s="4">
        <v>29.7</v>
      </c>
      <c r="O339" s="4">
        <v>10.7</v>
      </c>
      <c r="P339" s="4">
        <v>1062</v>
      </c>
      <c r="Q339" s="5">
        <v>1.17</v>
      </c>
    </row>
    <row r="340" spans="1:17">
      <c r="A340" s="3">
        <v>338</v>
      </c>
      <c r="B340" s="2" t="s">
        <v>184</v>
      </c>
      <c r="C340" s="2" t="s">
        <v>24</v>
      </c>
      <c r="D340" s="2" t="s">
        <v>185</v>
      </c>
      <c r="E340" s="2" t="s">
        <v>21</v>
      </c>
      <c r="F340" s="4">
        <v>7.3</v>
      </c>
      <c r="G340" s="4">
        <v>3099</v>
      </c>
      <c r="H340" s="2" t="s">
        <v>39</v>
      </c>
      <c r="I340" s="2" t="s">
        <v>23</v>
      </c>
      <c r="J340" s="3">
        <v>300</v>
      </c>
      <c r="K340" s="5">
        <v>1.1100000000000001</v>
      </c>
      <c r="L340" s="4">
        <v>35.5</v>
      </c>
      <c r="M340" s="4">
        <v>2904.3</v>
      </c>
      <c r="N340" s="4">
        <v>29.6</v>
      </c>
      <c r="O340" s="4">
        <v>10.4</v>
      </c>
      <c r="P340" s="4">
        <v>932.4</v>
      </c>
      <c r="Q340" s="5">
        <v>1.03</v>
      </c>
    </row>
    <row r="341" spans="1:17">
      <c r="A341" s="3">
        <v>339</v>
      </c>
      <c r="B341" s="2" t="s">
        <v>224</v>
      </c>
      <c r="C341" s="2" t="s">
        <v>78</v>
      </c>
      <c r="D341" s="2" t="s">
        <v>162</v>
      </c>
      <c r="E341" s="2" t="s">
        <v>35</v>
      </c>
      <c r="F341" s="4">
        <v>26.4</v>
      </c>
      <c r="G341" s="4">
        <v>3626.9</v>
      </c>
      <c r="H341" s="2" t="s">
        <v>36</v>
      </c>
      <c r="I341" s="2" t="s">
        <v>23</v>
      </c>
      <c r="J341" s="3">
        <v>210</v>
      </c>
      <c r="K341" s="5">
        <v>1.1100000000000001</v>
      </c>
      <c r="L341" s="4">
        <v>60.6</v>
      </c>
      <c r="M341" s="4">
        <v>2846.8</v>
      </c>
      <c r="N341" s="4">
        <v>30.2</v>
      </c>
      <c r="O341" s="4">
        <v>11.5</v>
      </c>
      <c r="P341" s="4">
        <v>1114</v>
      </c>
      <c r="Q341" s="5">
        <v>1.23</v>
      </c>
    </row>
    <row r="342" spans="1:17">
      <c r="A342" s="3">
        <v>340</v>
      </c>
      <c r="B342" s="2" t="s">
        <v>197</v>
      </c>
      <c r="C342" s="2" t="s">
        <v>19</v>
      </c>
      <c r="D342" s="2" t="s">
        <v>198</v>
      </c>
      <c r="E342" s="2" t="s">
        <v>21</v>
      </c>
      <c r="F342" s="4">
        <v>6.4</v>
      </c>
      <c r="G342" s="4">
        <v>3199</v>
      </c>
      <c r="H342" s="2" t="s">
        <v>39</v>
      </c>
      <c r="I342" s="2" t="s">
        <v>23</v>
      </c>
      <c r="J342" s="3">
        <v>300</v>
      </c>
      <c r="K342" s="5">
        <v>1.1100000000000001</v>
      </c>
      <c r="L342" s="4">
        <v>13.7</v>
      </c>
      <c r="M342" s="4">
        <v>2915.2</v>
      </c>
      <c r="N342" s="4">
        <v>29.5</v>
      </c>
      <c r="O342" s="4">
        <v>12.6</v>
      </c>
      <c r="P342" s="4">
        <v>360.5</v>
      </c>
      <c r="Q342" s="5">
        <v>0.4</v>
      </c>
    </row>
    <row r="343" spans="1:17">
      <c r="A343" s="3">
        <v>341</v>
      </c>
      <c r="B343" s="2" t="s">
        <v>56</v>
      </c>
      <c r="C343" s="2" t="s">
        <v>51</v>
      </c>
      <c r="D343" s="2" t="s">
        <v>58</v>
      </c>
      <c r="E343" s="2" t="s">
        <v>35</v>
      </c>
      <c r="F343" s="4">
        <v>32.4</v>
      </c>
      <c r="G343" s="4">
        <v>3050.8</v>
      </c>
      <c r="H343" s="2" t="s">
        <v>39</v>
      </c>
      <c r="I343" s="2" t="s">
        <v>23</v>
      </c>
      <c r="J343" s="3">
        <v>500</v>
      </c>
      <c r="K343" s="5">
        <v>1.1100000000000001</v>
      </c>
      <c r="L343" s="4">
        <v>51.7</v>
      </c>
      <c r="M343" s="4">
        <v>2914.9</v>
      </c>
      <c r="N343" s="4">
        <v>29.5</v>
      </c>
      <c r="O343" s="4">
        <v>9.5</v>
      </c>
      <c r="P343" s="4">
        <v>2263.5</v>
      </c>
      <c r="Q343" s="5">
        <v>2.5099999999999998</v>
      </c>
    </row>
    <row r="344" spans="1:17">
      <c r="A344" s="3">
        <v>342</v>
      </c>
      <c r="B344" s="2" t="s">
        <v>228</v>
      </c>
      <c r="C344" s="2" t="s">
        <v>68</v>
      </c>
      <c r="D344" s="2" t="s">
        <v>52</v>
      </c>
      <c r="E344" s="2" t="s">
        <v>35</v>
      </c>
      <c r="F344" s="4">
        <v>46.6</v>
      </c>
      <c r="G344" s="4">
        <v>3430</v>
      </c>
      <c r="H344" s="2" t="s">
        <v>39</v>
      </c>
      <c r="I344" s="2" t="s">
        <v>23</v>
      </c>
      <c r="J344" s="3">
        <v>200</v>
      </c>
      <c r="K344" s="5">
        <v>1.1100000000000001</v>
      </c>
      <c r="L344" s="4">
        <v>69.5</v>
      </c>
      <c r="M344" s="4">
        <v>2914.7</v>
      </c>
      <c r="N344" s="4">
        <v>29.5</v>
      </c>
      <c r="O344" s="4">
        <v>9</v>
      </c>
      <c r="P344" s="4">
        <v>1218</v>
      </c>
      <c r="Q344" s="5">
        <v>1.35</v>
      </c>
    </row>
    <row r="345" spans="1:17">
      <c r="A345" s="3">
        <v>343</v>
      </c>
      <c r="B345" s="2" t="s">
        <v>212</v>
      </c>
      <c r="C345" s="2" t="s">
        <v>57</v>
      </c>
      <c r="D345" s="2" t="s">
        <v>58</v>
      </c>
      <c r="E345" s="2" t="s">
        <v>35</v>
      </c>
      <c r="F345" s="4">
        <v>8.4</v>
      </c>
      <c r="G345" s="4">
        <v>3228</v>
      </c>
      <c r="H345" s="2" t="s">
        <v>39</v>
      </c>
      <c r="I345" s="2" t="s">
        <v>23</v>
      </c>
      <c r="J345" s="3">
        <v>250</v>
      </c>
      <c r="K345" s="5">
        <v>1.1100000000000001</v>
      </c>
      <c r="L345" s="4">
        <v>44.7</v>
      </c>
      <c r="M345" s="4">
        <v>2878.5</v>
      </c>
      <c r="N345" s="4">
        <v>29.9</v>
      </c>
      <c r="O345" s="4">
        <v>13.6</v>
      </c>
      <c r="P345" s="4">
        <v>979</v>
      </c>
      <c r="Q345" s="5">
        <v>1.0900000000000001</v>
      </c>
    </row>
    <row r="346" spans="1:17">
      <c r="A346" s="3">
        <v>344</v>
      </c>
      <c r="B346" s="2" t="s">
        <v>228</v>
      </c>
      <c r="C346" s="2" t="s">
        <v>85</v>
      </c>
      <c r="D346" s="2" t="s">
        <v>52</v>
      </c>
      <c r="E346" s="2" t="s">
        <v>35</v>
      </c>
      <c r="F346" s="4">
        <v>42</v>
      </c>
      <c r="G346" s="4">
        <v>3430</v>
      </c>
      <c r="H346" s="2" t="s">
        <v>39</v>
      </c>
      <c r="I346" s="2" t="s">
        <v>23</v>
      </c>
      <c r="J346" s="3">
        <v>200</v>
      </c>
      <c r="K346" s="5">
        <v>1.1100000000000001</v>
      </c>
      <c r="L346" s="4">
        <v>34.200000000000003</v>
      </c>
      <c r="M346" s="4">
        <v>2904.1</v>
      </c>
      <c r="N346" s="4">
        <v>29.6</v>
      </c>
      <c r="O346" s="4">
        <v>8.8000000000000007</v>
      </c>
      <c r="P346" s="4">
        <v>600</v>
      </c>
      <c r="Q346" s="5">
        <v>0.67</v>
      </c>
    </row>
    <row r="347" spans="1:17">
      <c r="A347" s="3">
        <v>345</v>
      </c>
      <c r="B347" s="2" t="s">
        <v>224</v>
      </c>
      <c r="C347" s="2" t="s">
        <v>33</v>
      </c>
      <c r="D347" s="2" t="s">
        <v>162</v>
      </c>
      <c r="E347" s="2" t="s">
        <v>35</v>
      </c>
      <c r="F347" s="4">
        <v>33</v>
      </c>
      <c r="G347" s="4">
        <v>3667</v>
      </c>
      <c r="H347" s="2" t="s">
        <v>36</v>
      </c>
      <c r="I347" s="2" t="s">
        <v>23</v>
      </c>
      <c r="J347" s="3">
        <v>210</v>
      </c>
      <c r="K347" s="5">
        <v>1.1200000000000001</v>
      </c>
      <c r="L347" s="4">
        <v>51.6</v>
      </c>
      <c r="M347" s="4">
        <v>2876.4</v>
      </c>
      <c r="N347" s="4">
        <v>29.9</v>
      </c>
      <c r="O347" s="4">
        <v>11.5</v>
      </c>
      <c r="P347" s="4">
        <v>949</v>
      </c>
      <c r="Q347" s="5">
        <v>1.06</v>
      </c>
    </row>
    <row r="348" spans="1:17">
      <c r="A348" s="3">
        <v>346</v>
      </c>
      <c r="B348" s="2" t="s">
        <v>232</v>
      </c>
      <c r="C348" s="2" t="s">
        <v>19</v>
      </c>
      <c r="D348" s="2" t="s">
        <v>149</v>
      </c>
      <c r="E348" s="2" t="s">
        <v>35</v>
      </c>
      <c r="F348" s="4">
        <v>41.1</v>
      </c>
      <c r="G348" s="4">
        <v>3640</v>
      </c>
      <c r="H348" s="2" t="s">
        <v>36</v>
      </c>
      <c r="I348" s="2" t="s">
        <v>23</v>
      </c>
      <c r="J348" s="3">
        <v>210</v>
      </c>
      <c r="K348" s="5">
        <v>1.1200000000000001</v>
      </c>
      <c r="L348" s="4">
        <v>73</v>
      </c>
      <c r="M348" s="4">
        <v>2940.2</v>
      </c>
      <c r="N348" s="4">
        <v>29.2</v>
      </c>
      <c r="O348" s="4">
        <v>8.8000000000000007</v>
      </c>
      <c r="P348" s="4">
        <v>1342</v>
      </c>
      <c r="Q348" s="5">
        <v>1.5</v>
      </c>
    </row>
    <row r="349" spans="1:17">
      <c r="A349" s="3">
        <v>347</v>
      </c>
      <c r="B349" s="2" t="s">
        <v>228</v>
      </c>
      <c r="C349" s="2" t="s">
        <v>91</v>
      </c>
      <c r="D349" s="2" t="s">
        <v>52</v>
      </c>
      <c r="E349" s="2" t="s">
        <v>35</v>
      </c>
      <c r="F349" s="4">
        <v>45.6</v>
      </c>
      <c r="G349" s="4">
        <v>3430</v>
      </c>
      <c r="H349" s="2" t="s">
        <v>39</v>
      </c>
      <c r="I349" s="2" t="s">
        <v>23</v>
      </c>
      <c r="J349" s="3">
        <v>200</v>
      </c>
      <c r="K349" s="5">
        <v>1.1299999999999999</v>
      </c>
      <c r="L349" s="4">
        <v>55.7</v>
      </c>
      <c r="M349" s="4">
        <v>2959.1</v>
      </c>
      <c r="N349" s="4">
        <v>29.1</v>
      </c>
      <c r="O349" s="4">
        <v>10</v>
      </c>
      <c r="P349" s="4">
        <v>976</v>
      </c>
      <c r="Q349" s="5">
        <v>1.1000000000000001</v>
      </c>
    </row>
    <row r="350" spans="1:17">
      <c r="A350" s="3">
        <v>348</v>
      </c>
      <c r="B350" s="2" t="s">
        <v>230</v>
      </c>
      <c r="C350" s="2" t="s">
        <v>19</v>
      </c>
      <c r="D350" s="2" t="s">
        <v>231</v>
      </c>
      <c r="E350" s="2" t="s">
        <v>35</v>
      </c>
      <c r="F350" s="4">
        <v>30.2</v>
      </c>
      <c r="G350" s="4">
        <v>2901</v>
      </c>
      <c r="H350" s="2" t="s">
        <v>43</v>
      </c>
      <c r="I350" s="2" t="s">
        <v>23</v>
      </c>
      <c r="J350" s="3">
        <v>210</v>
      </c>
      <c r="K350" s="5">
        <v>1.1299999999999999</v>
      </c>
      <c r="L350" s="4">
        <v>69.599999999999994</v>
      </c>
      <c r="M350" s="4">
        <v>2966.7</v>
      </c>
      <c r="N350" s="4">
        <v>29</v>
      </c>
      <c r="O350" s="4">
        <v>12.5</v>
      </c>
      <c r="P350" s="4">
        <v>1279.5</v>
      </c>
      <c r="Q350" s="5">
        <v>1.44</v>
      </c>
    </row>
    <row r="351" spans="1:17">
      <c r="A351" s="3">
        <v>349</v>
      </c>
      <c r="B351" s="2" t="s">
        <v>233</v>
      </c>
      <c r="C351" s="2" t="s">
        <v>33</v>
      </c>
      <c r="D351" s="2" t="s">
        <v>234</v>
      </c>
      <c r="E351" s="2" t="s">
        <v>35</v>
      </c>
      <c r="F351" s="4">
        <v>16</v>
      </c>
      <c r="G351" s="4">
        <v>4264.3999999999996</v>
      </c>
      <c r="H351" s="2" t="s">
        <v>29</v>
      </c>
      <c r="I351" s="2" t="s">
        <v>23</v>
      </c>
      <c r="J351" s="3">
        <v>250</v>
      </c>
      <c r="K351" s="5">
        <v>1.1299999999999999</v>
      </c>
      <c r="L351" s="4">
        <v>64.2</v>
      </c>
      <c r="M351" s="4">
        <v>2978.4</v>
      </c>
      <c r="N351" s="4">
        <v>28.9</v>
      </c>
      <c r="O351" s="4">
        <v>7.7</v>
      </c>
      <c r="P351" s="4">
        <v>1406</v>
      </c>
      <c r="Q351" s="5">
        <v>1.59</v>
      </c>
    </row>
    <row r="352" spans="1:17">
      <c r="A352" s="3">
        <v>350</v>
      </c>
      <c r="B352" s="2" t="s">
        <v>232</v>
      </c>
      <c r="C352" s="2" t="s">
        <v>41</v>
      </c>
      <c r="D352" s="2" t="s">
        <v>149</v>
      </c>
      <c r="E352" s="2" t="s">
        <v>35</v>
      </c>
      <c r="F352" s="4">
        <v>39.4</v>
      </c>
      <c r="G352" s="4">
        <v>3640</v>
      </c>
      <c r="H352" s="2" t="s">
        <v>36</v>
      </c>
      <c r="I352" s="2" t="s">
        <v>23</v>
      </c>
      <c r="J352" s="3">
        <v>210</v>
      </c>
      <c r="K352" s="5">
        <v>1.1299999999999999</v>
      </c>
      <c r="L352" s="4">
        <v>76.3</v>
      </c>
      <c r="M352" s="4">
        <v>2978.4</v>
      </c>
      <c r="N352" s="4">
        <v>28.9</v>
      </c>
      <c r="O352" s="4">
        <v>9.4</v>
      </c>
      <c r="P352" s="4">
        <v>1403</v>
      </c>
      <c r="Q352" s="5">
        <v>1.59</v>
      </c>
    </row>
    <row r="353" spans="1:17">
      <c r="A353" s="3">
        <v>351</v>
      </c>
      <c r="B353" s="2" t="s">
        <v>118</v>
      </c>
      <c r="C353" s="2" t="s">
        <v>24</v>
      </c>
      <c r="D353" s="2" t="s">
        <v>119</v>
      </c>
      <c r="E353" s="2" t="s">
        <v>35</v>
      </c>
      <c r="F353" s="4">
        <v>29.4</v>
      </c>
      <c r="G353" s="4">
        <v>3238</v>
      </c>
      <c r="H353" s="2" t="s">
        <v>39</v>
      </c>
      <c r="I353" s="2" t="s">
        <v>23</v>
      </c>
      <c r="J353" s="3">
        <v>210</v>
      </c>
      <c r="K353" s="5">
        <v>1.1299999999999999</v>
      </c>
      <c r="L353" s="4">
        <v>40.9</v>
      </c>
      <c r="M353" s="4">
        <v>2956.6</v>
      </c>
      <c r="N353" s="4">
        <v>29.1</v>
      </c>
      <c r="O353" s="4">
        <v>13.2</v>
      </c>
      <c r="P353" s="4">
        <v>752.1</v>
      </c>
      <c r="Q353" s="5">
        <v>0.85</v>
      </c>
    </row>
    <row r="354" spans="1:17">
      <c r="A354" s="3">
        <v>352</v>
      </c>
      <c r="B354" s="2" t="s">
        <v>235</v>
      </c>
      <c r="C354" s="2" t="s">
        <v>51</v>
      </c>
      <c r="D354" s="2" t="s">
        <v>93</v>
      </c>
      <c r="E354" s="2" t="s">
        <v>35</v>
      </c>
      <c r="F354" s="4">
        <v>31.6</v>
      </c>
      <c r="G354" s="4">
        <v>3313</v>
      </c>
      <c r="H354" s="2" t="s">
        <v>39</v>
      </c>
      <c r="I354" s="2" t="s">
        <v>23</v>
      </c>
      <c r="J354" s="3">
        <v>210</v>
      </c>
      <c r="K354" s="5">
        <v>1.1299999999999999</v>
      </c>
      <c r="L354" s="4">
        <v>62.1</v>
      </c>
      <c r="M354" s="4">
        <v>2979.7</v>
      </c>
      <c r="N354" s="4">
        <v>28.9</v>
      </c>
      <c r="O354" s="4">
        <v>11.1</v>
      </c>
      <c r="P354" s="4">
        <v>1143</v>
      </c>
      <c r="Q354" s="5">
        <v>1.29</v>
      </c>
    </row>
    <row r="355" spans="1:17">
      <c r="A355" s="3">
        <v>353</v>
      </c>
      <c r="B355" s="2" t="s">
        <v>56</v>
      </c>
      <c r="C355" s="2" t="s">
        <v>78</v>
      </c>
      <c r="D355" s="2" t="s">
        <v>58</v>
      </c>
      <c r="E355" s="2" t="s">
        <v>35</v>
      </c>
      <c r="F355" s="4">
        <v>33.4</v>
      </c>
      <c r="G355" s="4">
        <v>3033.6</v>
      </c>
      <c r="H355" s="2" t="s">
        <v>39</v>
      </c>
      <c r="I355" s="2" t="s">
        <v>23</v>
      </c>
      <c r="J355" s="3">
        <v>500</v>
      </c>
      <c r="K355" s="5">
        <v>1.1299999999999999</v>
      </c>
      <c r="L355" s="4">
        <v>45.7</v>
      </c>
      <c r="M355" s="4">
        <v>2982.5</v>
      </c>
      <c r="N355" s="4">
        <v>28.8</v>
      </c>
      <c r="O355" s="4">
        <v>11.4</v>
      </c>
      <c r="P355" s="4">
        <v>2002.9</v>
      </c>
      <c r="Q355" s="5">
        <v>2.27</v>
      </c>
    </row>
    <row r="356" spans="1:17">
      <c r="A356" s="3">
        <v>354</v>
      </c>
      <c r="B356" s="2" t="s">
        <v>223</v>
      </c>
      <c r="C356" s="2" t="s">
        <v>33</v>
      </c>
      <c r="D356" s="2" t="s">
        <v>162</v>
      </c>
      <c r="E356" s="2" t="s">
        <v>35</v>
      </c>
      <c r="F356" s="4">
        <v>38.4</v>
      </c>
      <c r="G356" s="4">
        <v>3799.1</v>
      </c>
      <c r="H356" s="2" t="s">
        <v>36</v>
      </c>
      <c r="I356" s="2" t="s">
        <v>23</v>
      </c>
      <c r="J356" s="3">
        <v>210</v>
      </c>
      <c r="K356" s="5">
        <v>1.1399999999999999</v>
      </c>
      <c r="L356" s="4">
        <v>23.8</v>
      </c>
      <c r="M356" s="4">
        <v>2995</v>
      </c>
      <c r="N356" s="4">
        <v>28.7</v>
      </c>
      <c r="O356" s="4">
        <v>10.1</v>
      </c>
      <c r="P356" s="4">
        <v>437</v>
      </c>
      <c r="Q356" s="5">
        <v>0.5</v>
      </c>
    </row>
    <row r="357" spans="1:17">
      <c r="A357" s="3">
        <v>355</v>
      </c>
      <c r="B357" s="2" t="s">
        <v>225</v>
      </c>
      <c r="C357" s="2" t="s">
        <v>24</v>
      </c>
      <c r="D357" s="2" t="s">
        <v>226</v>
      </c>
      <c r="E357" s="2" t="s">
        <v>21</v>
      </c>
      <c r="F357" s="4">
        <v>8.5</v>
      </c>
      <c r="G357" s="4">
        <v>3722.9</v>
      </c>
      <c r="H357" s="2" t="s">
        <v>36</v>
      </c>
      <c r="I357" s="2" t="s">
        <v>23</v>
      </c>
      <c r="J357" s="3">
        <v>270</v>
      </c>
      <c r="K357" s="5">
        <v>1.1399999999999999</v>
      </c>
      <c r="L357" s="4">
        <v>40</v>
      </c>
      <c r="M357" s="4">
        <v>2988.7</v>
      </c>
      <c r="N357" s="4">
        <v>28.8</v>
      </c>
      <c r="O357" s="4">
        <v>9.8000000000000007</v>
      </c>
      <c r="P357" s="4">
        <v>946.9</v>
      </c>
      <c r="Q357" s="5">
        <v>1.08</v>
      </c>
    </row>
    <row r="358" spans="1:17">
      <c r="A358" s="3">
        <v>356</v>
      </c>
      <c r="B358" s="2" t="s">
        <v>223</v>
      </c>
      <c r="C358" s="2" t="s">
        <v>51</v>
      </c>
      <c r="D358" s="2" t="s">
        <v>162</v>
      </c>
      <c r="E358" s="2" t="s">
        <v>35</v>
      </c>
      <c r="F358" s="4">
        <v>36.700000000000003</v>
      </c>
      <c r="G358" s="4">
        <v>3626.2</v>
      </c>
      <c r="H358" s="2" t="s">
        <v>36</v>
      </c>
      <c r="I358" s="2" t="s">
        <v>23</v>
      </c>
      <c r="J358" s="3">
        <v>210</v>
      </c>
      <c r="K358" s="5">
        <v>1.1399999999999999</v>
      </c>
      <c r="L358" s="4">
        <v>65</v>
      </c>
      <c r="M358" s="4">
        <v>2978.6</v>
      </c>
      <c r="N358" s="4">
        <v>28.9</v>
      </c>
      <c r="O358" s="4">
        <v>10.9</v>
      </c>
      <c r="P358" s="4">
        <v>1195</v>
      </c>
      <c r="Q358" s="5">
        <v>1.36</v>
      </c>
    </row>
    <row r="359" spans="1:17">
      <c r="A359" s="3">
        <v>357</v>
      </c>
      <c r="B359" s="2" t="s">
        <v>223</v>
      </c>
      <c r="C359" s="2" t="s">
        <v>78</v>
      </c>
      <c r="D359" s="2" t="s">
        <v>162</v>
      </c>
      <c r="E359" s="2" t="s">
        <v>35</v>
      </c>
      <c r="F359" s="4">
        <v>37.9</v>
      </c>
      <c r="G359" s="4">
        <v>3551.5</v>
      </c>
      <c r="H359" s="2" t="s">
        <v>36</v>
      </c>
      <c r="I359" s="2" t="s">
        <v>23</v>
      </c>
      <c r="J359" s="3">
        <v>210</v>
      </c>
      <c r="K359" s="5">
        <v>1.1399999999999999</v>
      </c>
      <c r="L359" s="4">
        <v>60.4</v>
      </c>
      <c r="M359" s="4">
        <v>2979.3</v>
      </c>
      <c r="N359" s="4">
        <v>28.9</v>
      </c>
      <c r="O359" s="4">
        <v>9.8000000000000007</v>
      </c>
      <c r="P359" s="4">
        <v>1111</v>
      </c>
      <c r="Q359" s="5">
        <v>1.26</v>
      </c>
    </row>
    <row r="360" spans="1:17">
      <c r="A360" s="3">
        <v>358</v>
      </c>
      <c r="B360" s="2" t="s">
        <v>125</v>
      </c>
      <c r="C360" s="2" t="s">
        <v>41</v>
      </c>
      <c r="D360" s="2" t="s">
        <v>126</v>
      </c>
      <c r="E360" s="2" t="s">
        <v>35</v>
      </c>
      <c r="F360" s="4">
        <v>25.4</v>
      </c>
      <c r="G360" s="4">
        <v>3723</v>
      </c>
      <c r="H360" s="2" t="s">
        <v>36</v>
      </c>
      <c r="I360" s="2" t="s">
        <v>23</v>
      </c>
      <c r="J360" s="3">
        <v>210</v>
      </c>
      <c r="K360" s="5">
        <v>1.1399999999999999</v>
      </c>
      <c r="L360" s="4">
        <v>60.8</v>
      </c>
      <c r="M360" s="4">
        <v>2995.2</v>
      </c>
      <c r="N360" s="4">
        <v>28.7</v>
      </c>
      <c r="O360" s="4">
        <v>9.3000000000000007</v>
      </c>
      <c r="P360" s="4">
        <v>1118</v>
      </c>
      <c r="Q360" s="5">
        <v>1.27</v>
      </c>
    </row>
    <row r="361" spans="1:17">
      <c r="A361" s="3">
        <v>359</v>
      </c>
      <c r="B361" s="2" t="s">
        <v>125</v>
      </c>
      <c r="C361" s="2" t="s">
        <v>33</v>
      </c>
      <c r="D361" s="2" t="s">
        <v>126</v>
      </c>
      <c r="E361" s="2" t="s">
        <v>35</v>
      </c>
      <c r="F361" s="4">
        <v>24.7</v>
      </c>
      <c r="G361" s="4">
        <v>3723</v>
      </c>
      <c r="H361" s="2" t="s">
        <v>36</v>
      </c>
      <c r="I361" s="2" t="s">
        <v>23</v>
      </c>
      <c r="J361" s="3">
        <v>210</v>
      </c>
      <c r="K361" s="5">
        <v>1.1399999999999999</v>
      </c>
      <c r="L361" s="4">
        <v>60.2</v>
      </c>
      <c r="M361" s="4">
        <v>3001.2</v>
      </c>
      <c r="N361" s="4">
        <v>28.7</v>
      </c>
      <c r="O361" s="4">
        <v>9.6</v>
      </c>
      <c r="P361" s="4">
        <v>1107.7</v>
      </c>
      <c r="Q361" s="5">
        <v>1.26</v>
      </c>
    </row>
    <row r="362" spans="1:17">
      <c r="A362" s="3">
        <v>360</v>
      </c>
      <c r="B362" s="2" t="s">
        <v>236</v>
      </c>
      <c r="C362" s="2" t="s">
        <v>33</v>
      </c>
      <c r="D362" s="2" t="s">
        <v>237</v>
      </c>
      <c r="E362" s="2" t="s">
        <v>21</v>
      </c>
      <c r="F362" s="4">
        <v>14.3</v>
      </c>
      <c r="G362" s="4">
        <v>2611.6999999999998</v>
      </c>
      <c r="H362" s="2" t="s">
        <v>43</v>
      </c>
      <c r="I362" s="2" t="s">
        <v>238</v>
      </c>
      <c r="J362" s="3">
        <v>125</v>
      </c>
      <c r="K362" s="5">
        <v>1.1399999999999999</v>
      </c>
      <c r="L362" s="4">
        <v>59.7</v>
      </c>
      <c r="M362" s="4">
        <v>3055</v>
      </c>
      <c r="N362" s="4">
        <v>28.1</v>
      </c>
      <c r="O362" s="4">
        <v>13.3</v>
      </c>
      <c r="P362" s="4">
        <v>654</v>
      </c>
      <c r="Q362" s="5">
        <v>0.75</v>
      </c>
    </row>
    <row r="363" spans="1:17">
      <c r="A363" s="3">
        <v>361</v>
      </c>
      <c r="B363" s="2" t="s">
        <v>235</v>
      </c>
      <c r="C363" s="2" t="s">
        <v>33</v>
      </c>
      <c r="D363" s="2" t="s">
        <v>93</v>
      </c>
      <c r="E363" s="2" t="s">
        <v>35</v>
      </c>
      <c r="F363" s="4">
        <v>30.6</v>
      </c>
      <c r="G363" s="4">
        <v>3295</v>
      </c>
      <c r="H363" s="2" t="s">
        <v>39</v>
      </c>
      <c r="I363" s="2" t="s">
        <v>23</v>
      </c>
      <c r="J363" s="3">
        <v>210</v>
      </c>
      <c r="K363" s="5">
        <v>1.1399999999999999</v>
      </c>
      <c r="L363" s="4">
        <v>60.3</v>
      </c>
      <c r="M363" s="4">
        <v>3009.8</v>
      </c>
      <c r="N363" s="4">
        <v>28.6</v>
      </c>
      <c r="O363" s="4">
        <v>11.1</v>
      </c>
      <c r="P363" s="4">
        <v>1109</v>
      </c>
      <c r="Q363" s="5">
        <v>1.27</v>
      </c>
    </row>
    <row r="364" spans="1:17">
      <c r="A364" s="3">
        <v>362</v>
      </c>
      <c r="B364" s="2" t="s">
        <v>239</v>
      </c>
      <c r="C364" s="2" t="s">
        <v>78</v>
      </c>
      <c r="D364" s="2" t="s">
        <v>58</v>
      </c>
      <c r="E364" s="2" t="s">
        <v>35</v>
      </c>
      <c r="F364" s="4">
        <v>10.6</v>
      </c>
      <c r="G364" s="4">
        <v>3531.2</v>
      </c>
      <c r="H364" s="2" t="s">
        <v>36</v>
      </c>
      <c r="I364" s="2" t="s">
        <v>23</v>
      </c>
      <c r="J364" s="3">
        <v>500</v>
      </c>
      <c r="K364" s="5">
        <v>1.1399999999999999</v>
      </c>
      <c r="L364" s="4">
        <v>61.1</v>
      </c>
      <c r="M364" s="4">
        <v>3027.3</v>
      </c>
      <c r="N364" s="4">
        <v>28.4</v>
      </c>
      <c r="O364" s="4">
        <v>6.4</v>
      </c>
      <c r="P364" s="4">
        <v>2677</v>
      </c>
      <c r="Q364" s="5">
        <v>3.06</v>
      </c>
    </row>
    <row r="365" spans="1:17">
      <c r="A365" s="3">
        <v>363</v>
      </c>
      <c r="B365" s="2" t="s">
        <v>240</v>
      </c>
      <c r="C365" s="2" t="s">
        <v>78</v>
      </c>
      <c r="D365" s="2" t="s">
        <v>93</v>
      </c>
      <c r="E365" s="2" t="s">
        <v>35</v>
      </c>
      <c r="F365" s="4">
        <v>41.8</v>
      </c>
      <c r="G365" s="4">
        <v>3579</v>
      </c>
      <c r="H365" s="2" t="s">
        <v>36</v>
      </c>
      <c r="I365" s="2" t="s">
        <v>23</v>
      </c>
      <c r="J365" s="3">
        <v>210</v>
      </c>
      <c r="K365" s="5">
        <v>1.1399999999999999</v>
      </c>
      <c r="L365" s="4">
        <v>76.5</v>
      </c>
      <c r="M365" s="4">
        <v>3009.2</v>
      </c>
      <c r="N365" s="4">
        <v>28.6</v>
      </c>
      <c r="O365" s="4">
        <v>9.5</v>
      </c>
      <c r="P365" s="4">
        <v>1407</v>
      </c>
      <c r="Q365" s="5">
        <v>1.61</v>
      </c>
    </row>
    <row r="366" spans="1:17">
      <c r="A366" s="3">
        <v>364</v>
      </c>
      <c r="B366" s="2" t="s">
        <v>56</v>
      </c>
      <c r="C366" s="2" t="s">
        <v>33</v>
      </c>
      <c r="D366" s="2" t="s">
        <v>58</v>
      </c>
      <c r="E366" s="2" t="s">
        <v>35</v>
      </c>
      <c r="F366" s="4">
        <v>38.4</v>
      </c>
      <c r="G366" s="4">
        <v>3069.9</v>
      </c>
      <c r="H366" s="2" t="s">
        <v>39</v>
      </c>
      <c r="I366" s="2" t="s">
        <v>23</v>
      </c>
      <c r="J366" s="3">
        <v>210</v>
      </c>
      <c r="K366" s="5">
        <v>1.1399999999999999</v>
      </c>
      <c r="L366" s="4">
        <v>47.8</v>
      </c>
      <c r="M366" s="4">
        <v>2989.8</v>
      </c>
      <c r="N366" s="4">
        <v>28.8</v>
      </c>
      <c r="O366" s="4">
        <v>11.2</v>
      </c>
      <c r="P366" s="4">
        <v>880.1</v>
      </c>
      <c r="Q366" s="5">
        <v>1.01</v>
      </c>
    </row>
    <row r="367" spans="1:17">
      <c r="A367" s="3">
        <v>365</v>
      </c>
      <c r="B367" s="2" t="s">
        <v>161</v>
      </c>
      <c r="C367" s="2" t="s">
        <v>41</v>
      </c>
      <c r="D367" s="2" t="s">
        <v>162</v>
      </c>
      <c r="E367" s="2" t="s">
        <v>35</v>
      </c>
      <c r="F367" s="4">
        <v>45.5</v>
      </c>
      <c r="G367" s="4">
        <v>3516</v>
      </c>
      <c r="H367" s="2" t="s">
        <v>36</v>
      </c>
      <c r="I367" s="2" t="s">
        <v>23</v>
      </c>
      <c r="J367" s="3">
        <v>200</v>
      </c>
      <c r="K367" s="5">
        <v>1.1499999999999999</v>
      </c>
      <c r="L367" s="4">
        <v>40.4</v>
      </c>
      <c r="M367" s="4">
        <v>2865.4</v>
      </c>
      <c r="N367" s="4">
        <v>30</v>
      </c>
      <c r="O367" s="4">
        <v>10.6</v>
      </c>
      <c r="P367" s="4">
        <v>708</v>
      </c>
      <c r="Q367" s="5">
        <v>0.81</v>
      </c>
    </row>
    <row r="368" spans="1:17">
      <c r="A368" s="3">
        <v>366</v>
      </c>
      <c r="B368" s="2" t="s">
        <v>236</v>
      </c>
      <c r="C368" s="2" t="s">
        <v>19</v>
      </c>
      <c r="D368" s="2" t="s">
        <v>237</v>
      </c>
      <c r="E368" s="2" t="s">
        <v>21</v>
      </c>
      <c r="F368" s="4">
        <v>24.6</v>
      </c>
      <c r="G368" s="4">
        <v>2631.3</v>
      </c>
      <c r="H368" s="2" t="s">
        <v>43</v>
      </c>
      <c r="I368" s="2" t="s">
        <v>238</v>
      </c>
      <c r="J368" s="3">
        <v>125</v>
      </c>
      <c r="K368" s="5">
        <v>1.1499999999999999</v>
      </c>
      <c r="L368" s="4">
        <v>49</v>
      </c>
      <c r="M368" s="4">
        <v>3111.5</v>
      </c>
      <c r="N368" s="4">
        <v>27.6</v>
      </c>
      <c r="O368" s="4">
        <v>13.8</v>
      </c>
      <c r="P368" s="4">
        <v>537</v>
      </c>
      <c r="Q368" s="5">
        <v>0.62</v>
      </c>
    </row>
    <row r="369" spans="1:17">
      <c r="A369" s="3">
        <v>367</v>
      </c>
      <c r="B369" s="2" t="s">
        <v>239</v>
      </c>
      <c r="C369" s="2" t="s">
        <v>33</v>
      </c>
      <c r="D369" s="2" t="s">
        <v>58</v>
      </c>
      <c r="E369" s="2" t="s">
        <v>35</v>
      </c>
      <c r="F369" s="4">
        <v>12.4</v>
      </c>
      <c r="G369" s="4">
        <v>3538.9</v>
      </c>
      <c r="H369" s="2" t="s">
        <v>36</v>
      </c>
      <c r="I369" s="2" t="s">
        <v>23</v>
      </c>
      <c r="J369" s="3">
        <v>500</v>
      </c>
      <c r="K369" s="5">
        <v>1.1499999999999999</v>
      </c>
      <c r="L369" s="4">
        <v>69.7</v>
      </c>
      <c r="M369" s="4">
        <v>3042.7</v>
      </c>
      <c r="N369" s="4">
        <v>28.3</v>
      </c>
      <c r="O369" s="4">
        <v>6.3</v>
      </c>
      <c r="P369" s="4">
        <v>3053</v>
      </c>
      <c r="Q369" s="5">
        <v>3.51</v>
      </c>
    </row>
    <row r="370" spans="1:17">
      <c r="A370" s="3">
        <v>368</v>
      </c>
      <c r="B370" s="2" t="s">
        <v>56</v>
      </c>
      <c r="C370" s="2" t="s">
        <v>41</v>
      </c>
      <c r="D370" s="2" t="s">
        <v>58</v>
      </c>
      <c r="E370" s="2" t="s">
        <v>35</v>
      </c>
      <c r="F370" s="4">
        <v>39.299999999999997</v>
      </c>
      <c r="G370" s="4">
        <v>3100.2</v>
      </c>
      <c r="H370" s="2" t="s">
        <v>39</v>
      </c>
      <c r="I370" s="2" t="s">
        <v>23</v>
      </c>
      <c r="J370" s="3">
        <v>210</v>
      </c>
      <c r="K370" s="5">
        <v>1.1499999999999999</v>
      </c>
      <c r="L370" s="4">
        <v>50.5</v>
      </c>
      <c r="M370" s="4">
        <v>3009.9</v>
      </c>
      <c r="N370" s="4">
        <v>28.6</v>
      </c>
      <c r="O370" s="4">
        <v>11.9</v>
      </c>
      <c r="P370" s="4">
        <v>929.4</v>
      </c>
      <c r="Q370" s="5">
        <v>1.07</v>
      </c>
    </row>
    <row r="371" spans="1:17">
      <c r="A371" s="3">
        <v>369</v>
      </c>
      <c r="B371" s="2" t="s">
        <v>232</v>
      </c>
      <c r="C371" s="2" t="s">
        <v>33</v>
      </c>
      <c r="D371" s="2" t="s">
        <v>149</v>
      </c>
      <c r="E371" s="2" t="s">
        <v>35</v>
      </c>
      <c r="F371" s="4">
        <v>38.4</v>
      </c>
      <c r="G371" s="4">
        <v>3640</v>
      </c>
      <c r="H371" s="2" t="s">
        <v>36</v>
      </c>
      <c r="I371" s="2" t="s">
        <v>23</v>
      </c>
      <c r="J371" s="3">
        <v>210</v>
      </c>
      <c r="K371" s="5">
        <v>1.1499999999999999</v>
      </c>
      <c r="L371" s="4">
        <v>68.900000000000006</v>
      </c>
      <c r="M371" s="4">
        <v>3034.3</v>
      </c>
      <c r="N371" s="4">
        <v>28.3</v>
      </c>
      <c r="O371" s="4">
        <v>9.6</v>
      </c>
      <c r="P371" s="4">
        <v>1268</v>
      </c>
      <c r="Q371" s="5">
        <v>1.46</v>
      </c>
    </row>
    <row r="372" spans="1:17">
      <c r="A372" s="3">
        <v>370</v>
      </c>
      <c r="B372" s="2" t="s">
        <v>235</v>
      </c>
      <c r="C372" s="2" t="s">
        <v>78</v>
      </c>
      <c r="D372" s="2" t="s">
        <v>93</v>
      </c>
      <c r="E372" s="2" t="s">
        <v>35</v>
      </c>
      <c r="F372" s="4">
        <v>33.4</v>
      </c>
      <c r="G372" s="4">
        <v>3277</v>
      </c>
      <c r="H372" s="2" t="s">
        <v>39</v>
      </c>
      <c r="I372" s="2" t="s">
        <v>23</v>
      </c>
      <c r="J372" s="3">
        <v>210</v>
      </c>
      <c r="K372" s="5">
        <v>1.1499999999999999</v>
      </c>
      <c r="L372" s="4">
        <v>56.8</v>
      </c>
      <c r="M372" s="4">
        <v>3035.5</v>
      </c>
      <c r="N372" s="4">
        <v>28.3</v>
      </c>
      <c r="O372" s="4">
        <v>11.1</v>
      </c>
      <c r="P372" s="4">
        <v>1045</v>
      </c>
      <c r="Q372" s="5">
        <v>1.21</v>
      </c>
    </row>
    <row r="373" spans="1:17">
      <c r="A373" s="3">
        <v>371</v>
      </c>
      <c r="B373" s="2" t="s">
        <v>241</v>
      </c>
      <c r="C373" s="2" t="s">
        <v>24</v>
      </c>
      <c r="D373" s="2" t="s">
        <v>242</v>
      </c>
      <c r="E373" s="2" t="s">
        <v>21</v>
      </c>
      <c r="F373" s="4">
        <v>12.1</v>
      </c>
      <c r="G373" s="4">
        <v>2643</v>
      </c>
      <c r="H373" s="2" t="s">
        <v>43</v>
      </c>
      <c r="I373" s="2" t="s">
        <v>23</v>
      </c>
      <c r="J373" s="3">
        <v>135</v>
      </c>
      <c r="K373" s="5">
        <v>1.1599999999999999</v>
      </c>
      <c r="L373" s="4">
        <v>43.4</v>
      </c>
      <c r="M373" s="4">
        <v>3043.1</v>
      </c>
      <c r="N373" s="4">
        <v>28.3</v>
      </c>
      <c r="O373" s="4">
        <v>11.9</v>
      </c>
      <c r="P373" s="4">
        <v>512.70000000000005</v>
      </c>
      <c r="Q373" s="5">
        <v>0.59</v>
      </c>
    </row>
    <row r="374" spans="1:17">
      <c r="A374" s="3">
        <v>372</v>
      </c>
      <c r="B374" s="2" t="s">
        <v>228</v>
      </c>
      <c r="C374" s="2" t="s">
        <v>63</v>
      </c>
      <c r="D374" s="2" t="s">
        <v>52</v>
      </c>
      <c r="E374" s="2" t="s">
        <v>35</v>
      </c>
      <c r="F374" s="4">
        <v>44.5</v>
      </c>
      <c r="G374" s="4">
        <v>3430</v>
      </c>
      <c r="H374" s="2" t="s">
        <v>39</v>
      </c>
      <c r="I374" s="2" t="s">
        <v>23</v>
      </c>
      <c r="J374" s="3">
        <v>200</v>
      </c>
      <c r="K374" s="5">
        <v>1.1599999999999999</v>
      </c>
      <c r="L374" s="4">
        <v>58.8</v>
      </c>
      <c r="M374" s="4">
        <v>3037.4</v>
      </c>
      <c r="N374" s="4">
        <v>28.3</v>
      </c>
      <c r="O374" s="4">
        <v>10.9</v>
      </c>
      <c r="P374" s="4">
        <v>1031</v>
      </c>
      <c r="Q374" s="5">
        <v>1.19</v>
      </c>
    </row>
    <row r="375" spans="1:17">
      <c r="A375" s="3">
        <v>373</v>
      </c>
      <c r="B375" s="2" t="s">
        <v>235</v>
      </c>
      <c r="C375" s="2" t="s">
        <v>41</v>
      </c>
      <c r="D375" s="2" t="s">
        <v>93</v>
      </c>
      <c r="E375" s="2" t="s">
        <v>35</v>
      </c>
      <c r="F375" s="4">
        <v>40</v>
      </c>
      <c r="G375" s="4">
        <v>3303</v>
      </c>
      <c r="H375" s="2" t="s">
        <v>39</v>
      </c>
      <c r="I375" s="2" t="s">
        <v>23</v>
      </c>
      <c r="J375" s="3">
        <v>210</v>
      </c>
      <c r="K375" s="5">
        <v>1.1599999999999999</v>
      </c>
      <c r="L375" s="4">
        <v>61</v>
      </c>
      <c r="M375" s="4">
        <v>3055.7</v>
      </c>
      <c r="N375" s="4">
        <v>28.1</v>
      </c>
      <c r="O375" s="4">
        <v>11</v>
      </c>
      <c r="P375" s="4">
        <v>1122</v>
      </c>
      <c r="Q375" s="5">
        <v>1.3</v>
      </c>
    </row>
    <row r="376" spans="1:17">
      <c r="A376" s="3">
        <v>374</v>
      </c>
      <c r="B376" s="2" t="s">
        <v>241</v>
      </c>
      <c r="C376" s="2" t="s">
        <v>19</v>
      </c>
      <c r="D376" s="2" t="s">
        <v>242</v>
      </c>
      <c r="E376" s="2" t="s">
        <v>21</v>
      </c>
      <c r="F376" s="4">
        <v>12.6</v>
      </c>
      <c r="G376" s="4">
        <v>2643</v>
      </c>
      <c r="H376" s="2" t="s">
        <v>43</v>
      </c>
      <c r="I376" s="2" t="s">
        <v>23</v>
      </c>
      <c r="J376" s="3">
        <v>135</v>
      </c>
      <c r="K376" s="5">
        <v>1.1599999999999999</v>
      </c>
      <c r="L376" s="4">
        <v>41.3</v>
      </c>
      <c r="M376" s="4">
        <v>3060.9</v>
      </c>
      <c r="N376" s="4">
        <v>28.1</v>
      </c>
      <c r="O376" s="4">
        <v>12.4</v>
      </c>
      <c r="P376" s="4">
        <v>488.7</v>
      </c>
      <c r="Q376" s="5">
        <v>0.56999999999999995</v>
      </c>
    </row>
    <row r="377" spans="1:17">
      <c r="A377" s="3">
        <v>375</v>
      </c>
      <c r="B377" s="2" t="s">
        <v>56</v>
      </c>
      <c r="C377" s="2" t="s">
        <v>45</v>
      </c>
      <c r="D377" s="2" t="s">
        <v>58</v>
      </c>
      <c r="E377" s="2" t="s">
        <v>35</v>
      </c>
      <c r="F377" s="4">
        <v>26.8</v>
      </c>
      <c r="G377" s="4">
        <v>2972</v>
      </c>
      <c r="H377" s="2" t="s">
        <v>43</v>
      </c>
      <c r="I377" s="2" t="s">
        <v>23</v>
      </c>
      <c r="J377" s="3">
        <v>500</v>
      </c>
      <c r="K377" s="5">
        <v>1.1599999999999999</v>
      </c>
      <c r="L377" s="4">
        <v>32.1</v>
      </c>
      <c r="M377" s="4">
        <v>3028.1</v>
      </c>
      <c r="N377" s="4">
        <v>28.4</v>
      </c>
      <c r="O377" s="4">
        <v>12.6</v>
      </c>
      <c r="P377" s="4">
        <v>1404.9</v>
      </c>
      <c r="Q377" s="5">
        <v>1.64</v>
      </c>
    </row>
    <row r="378" spans="1:17">
      <c r="A378" s="3">
        <v>376</v>
      </c>
      <c r="B378" s="2" t="s">
        <v>243</v>
      </c>
      <c r="C378" s="2" t="s">
        <v>19</v>
      </c>
      <c r="D378" s="2" t="s">
        <v>49</v>
      </c>
      <c r="E378" s="2" t="s">
        <v>21</v>
      </c>
      <c r="F378" s="4">
        <v>34</v>
      </c>
      <c r="G378" s="4">
        <v>4677</v>
      </c>
      <c r="H378" s="2" t="s">
        <v>99</v>
      </c>
      <c r="I378" s="2" t="s">
        <v>23</v>
      </c>
      <c r="J378" s="3">
        <v>67.5</v>
      </c>
      <c r="K378" s="5">
        <v>1.17</v>
      </c>
      <c r="L378" s="4">
        <v>51</v>
      </c>
      <c r="M378" s="4">
        <v>3075.5</v>
      </c>
      <c r="N378" s="4">
        <v>28</v>
      </c>
      <c r="O378" s="4">
        <v>8.5</v>
      </c>
      <c r="P378" s="4">
        <v>301.60000000000002</v>
      </c>
      <c r="Q378" s="5">
        <v>0.35</v>
      </c>
    </row>
    <row r="379" spans="1:17">
      <c r="A379" s="3">
        <v>377</v>
      </c>
      <c r="B379" s="2" t="s">
        <v>244</v>
      </c>
      <c r="C379" s="2" t="s">
        <v>24</v>
      </c>
      <c r="D379" s="2" t="s">
        <v>215</v>
      </c>
      <c r="E379" s="2" t="s">
        <v>35</v>
      </c>
      <c r="F379" s="4">
        <v>12.4</v>
      </c>
      <c r="G379" s="4">
        <v>3676.7</v>
      </c>
      <c r="H379" s="2" t="s">
        <v>36</v>
      </c>
      <c r="I379" s="2" t="s">
        <v>23</v>
      </c>
      <c r="J379" s="3">
        <v>500</v>
      </c>
      <c r="K379" s="5">
        <v>1.17</v>
      </c>
      <c r="L379" s="4">
        <v>42.4</v>
      </c>
      <c r="M379" s="4">
        <v>3078.9</v>
      </c>
      <c r="N379" s="4">
        <v>27.9</v>
      </c>
      <c r="O379" s="4">
        <v>7.2</v>
      </c>
      <c r="P379" s="4">
        <v>1856</v>
      </c>
      <c r="Q379" s="5">
        <v>2.17</v>
      </c>
    </row>
    <row r="380" spans="1:17">
      <c r="A380" s="3">
        <v>378</v>
      </c>
      <c r="B380" s="2" t="s">
        <v>236</v>
      </c>
      <c r="C380" s="2" t="s">
        <v>41</v>
      </c>
      <c r="D380" s="2" t="s">
        <v>237</v>
      </c>
      <c r="E380" s="2" t="s">
        <v>21</v>
      </c>
      <c r="F380" s="4">
        <v>14.3</v>
      </c>
      <c r="G380" s="4">
        <v>2585.1</v>
      </c>
      <c r="H380" s="2" t="s">
        <v>43</v>
      </c>
      <c r="I380" s="2" t="s">
        <v>238</v>
      </c>
      <c r="J380" s="3">
        <v>125</v>
      </c>
      <c r="K380" s="5">
        <v>1.17</v>
      </c>
      <c r="L380" s="4">
        <v>62.1</v>
      </c>
      <c r="M380" s="4">
        <v>3064.1</v>
      </c>
      <c r="N380" s="4">
        <v>28.1</v>
      </c>
      <c r="O380" s="4">
        <v>13.3</v>
      </c>
      <c r="P380" s="4">
        <v>680</v>
      </c>
      <c r="Q380" s="5">
        <v>0.8</v>
      </c>
    </row>
    <row r="381" spans="1:17">
      <c r="A381" s="3">
        <v>379</v>
      </c>
      <c r="B381" s="2" t="s">
        <v>243</v>
      </c>
      <c r="C381" s="2" t="s">
        <v>24</v>
      </c>
      <c r="D381" s="2" t="s">
        <v>49</v>
      </c>
      <c r="E381" s="2" t="s">
        <v>21</v>
      </c>
      <c r="F381" s="4">
        <v>33.299999999999997</v>
      </c>
      <c r="G381" s="4">
        <v>4677</v>
      </c>
      <c r="H381" s="2" t="s">
        <v>99</v>
      </c>
      <c r="I381" s="2" t="s">
        <v>23</v>
      </c>
      <c r="J381" s="3">
        <v>67.5</v>
      </c>
      <c r="K381" s="5">
        <v>1.17</v>
      </c>
      <c r="L381" s="4">
        <v>47.3</v>
      </c>
      <c r="M381" s="4">
        <v>3078.6</v>
      </c>
      <c r="N381" s="4">
        <v>27.9</v>
      </c>
      <c r="O381" s="4">
        <v>8.5</v>
      </c>
      <c r="P381" s="4">
        <v>279.8</v>
      </c>
      <c r="Q381" s="5">
        <v>0.33</v>
      </c>
    </row>
    <row r="382" spans="1:17">
      <c r="A382" s="3">
        <v>380</v>
      </c>
      <c r="B382" s="2" t="s">
        <v>125</v>
      </c>
      <c r="C382" s="2" t="s">
        <v>24</v>
      </c>
      <c r="D382" s="2" t="s">
        <v>126</v>
      </c>
      <c r="E382" s="2" t="s">
        <v>35</v>
      </c>
      <c r="F382" s="4">
        <v>30.4</v>
      </c>
      <c r="G382" s="4">
        <v>3723</v>
      </c>
      <c r="H382" s="2" t="s">
        <v>36</v>
      </c>
      <c r="I382" s="2" t="s">
        <v>23</v>
      </c>
      <c r="J382" s="3">
        <v>210</v>
      </c>
      <c r="K382" s="5">
        <v>1.17</v>
      </c>
      <c r="L382" s="4">
        <v>57.1</v>
      </c>
      <c r="M382" s="4">
        <v>3083.5</v>
      </c>
      <c r="N382" s="4">
        <v>27.9</v>
      </c>
      <c r="O382" s="4">
        <v>9.5</v>
      </c>
      <c r="P382" s="4">
        <v>1049.5999999999999</v>
      </c>
      <c r="Q382" s="5">
        <v>1.23</v>
      </c>
    </row>
    <row r="383" spans="1:17">
      <c r="A383" s="3">
        <v>381</v>
      </c>
      <c r="B383" s="2" t="s">
        <v>245</v>
      </c>
      <c r="C383" s="2" t="s">
        <v>24</v>
      </c>
      <c r="D383" s="2" t="s">
        <v>144</v>
      </c>
      <c r="E383" s="2" t="s">
        <v>35</v>
      </c>
      <c r="F383" s="4">
        <v>29.4</v>
      </c>
      <c r="G383" s="4">
        <v>3111</v>
      </c>
      <c r="H383" s="2" t="s">
        <v>39</v>
      </c>
      <c r="I383" s="2" t="s">
        <v>23</v>
      </c>
      <c r="J383" s="3">
        <v>210</v>
      </c>
      <c r="K383" s="5">
        <v>1.17</v>
      </c>
      <c r="L383" s="4">
        <v>54.3</v>
      </c>
      <c r="M383" s="4">
        <v>3068.9</v>
      </c>
      <c r="N383" s="4">
        <v>28</v>
      </c>
      <c r="O383" s="4">
        <v>9.1999999999999993</v>
      </c>
      <c r="P383" s="4">
        <v>998.2</v>
      </c>
      <c r="Q383" s="5">
        <v>1.17</v>
      </c>
    </row>
    <row r="384" spans="1:17">
      <c r="A384" s="3">
        <v>382</v>
      </c>
      <c r="B384" s="2" t="s">
        <v>179</v>
      </c>
      <c r="C384" s="2" t="s">
        <v>19</v>
      </c>
      <c r="D384" s="2" t="s">
        <v>180</v>
      </c>
      <c r="E384" s="2" t="s">
        <v>21</v>
      </c>
      <c r="F384" s="4">
        <v>9.6999999999999993</v>
      </c>
      <c r="G384" s="4">
        <v>4158</v>
      </c>
      <c r="H384" s="2" t="s">
        <v>29</v>
      </c>
      <c r="I384" s="2" t="s">
        <v>23</v>
      </c>
      <c r="J384" s="3">
        <v>600</v>
      </c>
      <c r="K384" s="5">
        <v>1.18</v>
      </c>
      <c r="L384" s="4">
        <v>2.2999999999999998</v>
      </c>
      <c r="M384" s="4">
        <v>3263.9</v>
      </c>
      <c r="N384" s="4">
        <v>26.3</v>
      </c>
      <c r="O384" s="4">
        <v>18.399999999999999</v>
      </c>
      <c r="P384" s="4">
        <v>122.6</v>
      </c>
      <c r="Q384" s="5">
        <v>0.14000000000000001</v>
      </c>
    </row>
    <row r="385" spans="1:17">
      <c r="A385" s="3">
        <v>383</v>
      </c>
      <c r="B385" s="2" t="s">
        <v>233</v>
      </c>
      <c r="C385" s="2" t="s">
        <v>19</v>
      </c>
      <c r="D385" s="2" t="s">
        <v>234</v>
      </c>
      <c r="E385" s="2" t="s">
        <v>35</v>
      </c>
      <c r="F385" s="4">
        <v>26.6</v>
      </c>
      <c r="G385" s="4">
        <v>4262.7</v>
      </c>
      <c r="H385" s="2" t="s">
        <v>29</v>
      </c>
      <c r="I385" s="2" t="s">
        <v>23</v>
      </c>
      <c r="J385" s="3">
        <v>210</v>
      </c>
      <c r="K385" s="5">
        <v>1.18</v>
      </c>
      <c r="L385" s="4">
        <v>53.6</v>
      </c>
      <c r="M385" s="4">
        <v>3104.1</v>
      </c>
      <c r="N385" s="4">
        <v>27.7</v>
      </c>
      <c r="O385" s="4">
        <v>9</v>
      </c>
      <c r="P385" s="4">
        <v>986</v>
      </c>
      <c r="Q385" s="5">
        <v>1.1599999999999999</v>
      </c>
    </row>
    <row r="386" spans="1:17">
      <c r="A386" s="3">
        <v>384</v>
      </c>
      <c r="B386" s="2" t="s">
        <v>125</v>
      </c>
      <c r="C386" s="2" t="s">
        <v>19</v>
      </c>
      <c r="D386" s="2" t="s">
        <v>126</v>
      </c>
      <c r="E386" s="2" t="s">
        <v>35</v>
      </c>
      <c r="F386" s="4">
        <v>31.4</v>
      </c>
      <c r="G386" s="4">
        <v>3723</v>
      </c>
      <c r="H386" s="2" t="s">
        <v>36</v>
      </c>
      <c r="I386" s="2" t="s">
        <v>23</v>
      </c>
      <c r="J386" s="3">
        <v>210</v>
      </c>
      <c r="K386" s="5">
        <v>1.18</v>
      </c>
      <c r="L386" s="4">
        <v>59.4</v>
      </c>
      <c r="M386" s="4">
        <v>3098.9</v>
      </c>
      <c r="N386" s="4">
        <v>27.7</v>
      </c>
      <c r="O386" s="4">
        <v>9.9</v>
      </c>
      <c r="P386" s="4">
        <v>1093</v>
      </c>
      <c r="Q386" s="5">
        <v>1.29</v>
      </c>
    </row>
    <row r="387" spans="1:17">
      <c r="A387" s="3">
        <v>385</v>
      </c>
      <c r="B387" s="2" t="s">
        <v>246</v>
      </c>
      <c r="C387" s="2" t="s">
        <v>19</v>
      </c>
      <c r="D387" s="2" t="s">
        <v>247</v>
      </c>
      <c r="E387" s="2" t="s">
        <v>47</v>
      </c>
      <c r="F387" s="4">
        <v>4.5999999999999996</v>
      </c>
      <c r="G387" s="4">
        <v>2640</v>
      </c>
      <c r="H387" s="2" t="s">
        <v>43</v>
      </c>
      <c r="I387" s="2" t="s">
        <v>238</v>
      </c>
      <c r="J387" s="3">
        <v>500</v>
      </c>
      <c r="K387" s="5">
        <v>1.18</v>
      </c>
      <c r="L387" s="4">
        <v>77.400000000000006</v>
      </c>
      <c r="M387" s="4">
        <v>2798.3</v>
      </c>
      <c r="N387" s="4">
        <v>30.7</v>
      </c>
      <c r="O387" s="4">
        <v>6.1</v>
      </c>
      <c r="P387" s="4">
        <v>3388.9</v>
      </c>
      <c r="Q387" s="5">
        <v>4</v>
      </c>
    </row>
    <row r="388" spans="1:17">
      <c r="A388" s="3">
        <v>386</v>
      </c>
      <c r="B388" s="2" t="s">
        <v>246</v>
      </c>
      <c r="C388" s="2" t="s">
        <v>24</v>
      </c>
      <c r="D388" s="2" t="s">
        <v>247</v>
      </c>
      <c r="E388" s="2" t="s">
        <v>47</v>
      </c>
      <c r="F388" s="4">
        <v>3.5</v>
      </c>
      <c r="G388" s="4">
        <v>2640</v>
      </c>
      <c r="H388" s="2" t="s">
        <v>43</v>
      </c>
      <c r="I388" s="2" t="s">
        <v>238</v>
      </c>
      <c r="J388" s="3">
        <v>500</v>
      </c>
      <c r="K388" s="5">
        <v>1.18</v>
      </c>
      <c r="L388" s="4">
        <v>76</v>
      </c>
      <c r="M388" s="4">
        <v>2800.5</v>
      </c>
      <c r="N388" s="4">
        <v>30.7</v>
      </c>
      <c r="O388" s="4">
        <v>6.1</v>
      </c>
      <c r="P388" s="4">
        <v>3330.5</v>
      </c>
      <c r="Q388" s="5">
        <v>3.93</v>
      </c>
    </row>
    <row r="389" spans="1:17">
      <c r="A389" s="3">
        <v>387</v>
      </c>
      <c r="B389" s="2" t="s">
        <v>161</v>
      </c>
      <c r="C389" s="2" t="s">
        <v>78</v>
      </c>
      <c r="D389" s="2" t="s">
        <v>162</v>
      </c>
      <c r="E389" s="2" t="s">
        <v>35</v>
      </c>
      <c r="F389" s="4">
        <v>39.5</v>
      </c>
      <c r="G389" s="4">
        <v>3549</v>
      </c>
      <c r="H389" s="2" t="s">
        <v>36</v>
      </c>
      <c r="I389" s="2" t="s">
        <v>23</v>
      </c>
      <c r="J389" s="3">
        <v>210</v>
      </c>
      <c r="K389" s="5">
        <v>1.18</v>
      </c>
      <c r="L389" s="4">
        <v>44.4</v>
      </c>
      <c r="M389" s="4">
        <v>3013.2</v>
      </c>
      <c r="N389" s="4">
        <v>28.5</v>
      </c>
      <c r="O389" s="4">
        <v>10.8</v>
      </c>
      <c r="P389" s="4">
        <v>816</v>
      </c>
      <c r="Q389" s="5">
        <v>0.97</v>
      </c>
    </row>
    <row r="390" spans="1:17">
      <c r="A390" s="3">
        <v>388</v>
      </c>
      <c r="B390" s="2" t="s">
        <v>233</v>
      </c>
      <c r="C390" s="2" t="s">
        <v>41</v>
      </c>
      <c r="D390" s="2" t="s">
        <v>234</v>
      </c>
      <c r="E390" s="2" t="s">
        <v>35</v>
      </c>
      <c r="F390" s="4">
        <v>16.600000000000001</v>
      </c>
      <c r="G390" s="4">
        <v>4258.1000000000004</v>
      </c>
      <c r="H390" s="2" t="s">
        <v>29</v>
      </c>
      <c r="I390" s="2" t="s">
        <v>23</v>
      </c>
      <c r="J390" s="3">
        <v>250</v>
      </c>
      <c r="K390" s="5">
        <v>1.19</v>
      </c>
      <c r="L390" s="4">
        <v>48.6</v>
      </c>
      <c r="M390" s="4">
        <v>3126.6</v>
      </c>
      <c r="N390" s="4">
        <v>27.5</v>
      </c>
      <c r="O390" s="4">
        <v>8.6999999999999993</v>
      </c>
      <c r="P390" s="4">
        <v>1065</v>
      </c>
      <c r="Q390" s="5">
        <v>1.26</v>
      </c>
    </row>
    <row r="391" spans="1:17">
      <c r="A391" s="3">
        <v>389</v>
      </c>
      <c r="B391" s="2" t="s">
        <v>248</v>
      </c>
      <c r="C391" s="2" t="s">
        <v>33</v>
      </c>
      <c r="D391" s="2" t="s">
        <v>58</v>
      </c>
      <c r="E391" s="2" t="s">
        <v>35</v>
      </c>
      <c r="F391" s="4">
        <v>44.1</v>
      </c>
      <c r="G391" s="4">
        <v>2842</v>
      </c>
      <c r="H391" s="2" t="s">
        <v>43</v>
      </c>
      <c r="I391" s="2" t="s">
        <v>23</v>
      </c>
      <c r="J391" s="3">
        <v>210</v>
      </c>
      <c r="K391" s="5">
        <v>1.19</v>
      </c>
      <c r="L391" s="4">
        <v>41.4</v>
      </c>
      <c r="M391" s="4">
        <v>3121.7</v>
      </c>
      <c r="N391" s="4">
        <v>27.5</v>
      </c>
      <c r="O391" s="4">
        <v>12.4</v>
      </c>
      <c r="P391" s="4">
        <v>762</v>
      </c>
      <c r="Q391" s="5">
        <v>0.91</v>
      </c>
    </row>
    <row r="392" spans="1:17">
      <c r="A392" s="3">
        <v>390</v>
      </c>
      <c r="B392" s="2" t="s">
        <v>236</v>
      </c>
      <c r="C392" s="2" t="s">
        <v>24</v>
      </c>
      <c r="D392" s="2" t="s">
        <v>237</v>
      </c>
      <c r="E392" s="2" t="s">
        <v>21</v>
      </c>
      <c r="F392" s="4">
        <v>24.8</v>
      </c>
      <c r="G392" s="4">
        <v>2588.1999999999998</v>
      </c>
      <c r="H392" s="2" t="s">
        <v>43</v>
      </c>
      <c r="I392" s="2" t="s">
        <v>238</v>
      </c>
      <c r="J392" s="3">
        <v>125</v>
      </c>
      <c r="K392" s="5">
        <v>1.19</v>
      </c>
      <c r="L392" s="4">
        <v>58.4</v>
      </c>
      <c r="M392" s="4">
        <v>3118</v>
      </c>
      <c r="N392" s="4">
        <v>27.6</v>
      </c>
      <c r="O392" s="4">
        <v>13.9</v>
      </c>
      <c r="P392" s="4">
        <v>640</v>
      </c>
      <c r="Q392" s="5">
        <v>0.76</v>
      </c>
    </row>
    <row r="393" spans="1:17">
      <c r="A393" s="3">
        <v>391</v>
      </c>
      <c r="B393" s="2" t="s">
        <v>248</v>
      </c>
      <c r="C393" s="2" t="s">
        <v>41</v>
      </c>
      <c r="D393" s="2" t="s">
        <v>58</v>
      </c>
      <c r="E393" s="2" t="s">
        <v>35</v>
      </c>
      <c r="F393" s="4">
        <v>45.4</v>
      </c>
      <c r="G393" s="4">
        <v>2792</v>
      </c>
      <c r="H393" s="2" t="s">
        <v>43</v>
      </c>
      <c r="I393" s="2" t="s">
        <v>23</v>
      </c>
      <c r="J393" s="3">
        <v>210</v>
      </c>
      <c r="K393" s="5">
        <v>1.2</v>
      </c>
      <c r="L393" s="4">
        <v>38.200000000000003</v>
      </c>
      <c r="M393" s="4">
        <v>3105.8</v>
      </c>
      <c r="N393" s="4">
        <v>27.7</v>
      </c>
      <c r="O393" s="4">
        <v>12.6</v>
      </c>
      <c r="P393" s="4">
        <v>703</v>
      </c>
      <c r="Q393" s="5">
        <v>0.84</v>
      </c>
    </row>
    <row r="394" spans="1:17">
      <c r="A394" s="3">
        <v>392</v>
      </c>
      <c r="B394" s="2" t="s">
        <v>249</v>
      </c>
      <c r="C394" s="2" t="s">
        <v>78</v>
      </c>
      <c r="D394" s="2" t="s">
        <v>250</v>
      </c>
      <c r="E394" s="2" t="s">
        <v>21</v>
      </c>
      <c r="F394" s="4">
        <v>11.5</v>
      </c>
      <c r="G394" s="4">
        <v>3115.2</v>
      </c>
      <c r="H394" s="2" t="s">
        <v>39</v>
      </c>
      <c r="I394" s="2" t="s">
        <v>238</v>
      </c>
      <c r="J394" s="3">
        <v>135</v>
      </c>
      <c r="K394" s="5">
        <v>1.2</v>
      </c>
      <c r="L394" s="4">
        <v>69.7</v>
      </c>
      <c r="M394" s="4">
        <v>2850.6</v>
      </c>
      <c r="N394" s="4">
        <v>30.2</v>
      </c>
      <c r="O394" s="4">
        <v>10.199999999999999</v>
      </c>
      <c r="P394" s="4">
        <v>823.9</v>
      </c>
      <c r="Q394" s="5">
        <v>0.99</v>
      </c>
    </row>
    <row r="395" spans="1:17">
      <c r="A395" s="3">
        <v>393</v>
      </c>
      <c r="B395" s="2" t="s">
        <v>249</v>
      </c>
      <c r="C395" s="2" t="s">
        <v>33</v>
      </c>
      <c r="D395" s="2" t="s">
        <v>250</v>
      </c>
      <c r="E395" s="2" t="s">
        <v>21</v>
      </c>
      <c r="F395" s="4">
        <v>12.7</v>
      </c>
      <c r="G395" s="4">
        <v>3127.8</v>
      </c>
      <c r="H395" s="2" t="s">
        <v>39</v>
      </c>
      <c r="I395" s="2" t="s">
        <v>238</v>
      </c>
      <c r="J395" s="3">
        <v>135</v>
      </c>
      <c r="K395" s="5">
        <v>1.2</v>
      </c>
      <c r="L395" s="4">
        <v>71.900000000000006</v>
      </c>
      <c r="M395" s="4">
        <v>2850.9</v>
      </c>
      <c r="N395" s="4">
        <v>30.2</v>
      </c>
      <c r="O395" s="4">
        <v>10.199999999999999</v>
      </c>
      <c r="P395" s="4">
        <v>850.7</v>
      </c>
      <c r="Q395" s="5">
        <v>1.02</v>
      </c>
    </row>
    <row r="396" spans="1:17">
      <c r="A396" s="3">
        <v>394</v>
      </c>
      <c r="B396" s="2" t="s">
        <v>249</v>
      </c>
      <c r="C396" s="2" t="s">
        <v>51</v>
      </c>
      <c r="D396" s="2" t="s">
        <v>250</v>
      </c>
      <c r="E396" s="2" t="s">
        <v>21</v>
      </c>
      <c r="F396" s="4">
        <v>11.4</v>
      </c>
      <c r="G396" s="4">
        <v>3121.3</v>
      </c>
      <c r="H396" s="2" t="s">
        <v>39</v>
      </c>
      <c r="I396" s="2" t="s">
        <v>238</v>
      </c>
      <c r="J396" s="3">
        <v>135</v>
      </c>
      <c r="K396" s="5">
        <v>1.2</v>
      </c>
      <c r="L396" s="4">
        <v>72.7</v>
      </c>
      <c r="M396" s="4">
        <v>2851.4</v>
      </c>
      <c r="N396" s="4">
        <v>30.2</v>
      </c>
      <c r="O396" s="4">
        <v>10.199999999999999</v>
      </c>
      <c r="P396" s="4">
        <v>859.5</v>
      </c>
      <c r="Q396" s="5">
        <v>1.03</v>
      </c>
    </row>
    <row r="397" spans="1:17">
      <c r="A397" s="3">
        <v>395</v>
      </c>
      <c r="B397" s="2" t="s">
        <v>249</v>
      </c>
      <c r="C397" s="2" t="s">
        <v>41</v>
      </c>
      <c r="D397" s="2" t="s">
        <v>250</v>
      </c>
      <c r="E397" s="2" t="s">
        <v>21</v>
      </c>
      <c r="F397" s="4">
        <v>12.8</v>
      </c>
      <c r="G397" s="4">
        <v>3128.8</v>
      </c>
      <c r="H397" s="2" t="s">
        <v>39</v>
      </c>
      <c r="I397" s="2" t="s">
        <v>238</v>
      </c>
      <c r="J397" s="3">
        <v>135</v>
      </c>
      <c r="K397" s="5">
        <v>1.2</v>
      </c>
      <c r="L397" s="4">
        <v>62.2</v>
      </c>
      <c r="M397" s="4">
        <v>2851.5</v>
      </c>
      <c r="N397" s="4">
        <v>30.2</v>
      </c>
      <c r="O397" s="4">
        <v>10.199999999999999</v>
      </c>
      <c r="P397" s="4">
        <v>736</v>
      </c>
      <c r="Q397" s="5">
        <v>0.88</v>
      </c>
    </row>
    <row r="398" spans="1:17">
      <c r="A398" s="3">
        <v>396</v>
      </c>
      <c r="B398" s="2" t="s">
        <v>249</v>
      </c>
      <c r="C398" s="2" t="s">
        <v>24</v>
      </c>
      <c r="D398" s="2" t="s">
        <v>250</v>
      </c>
      <c r="E398" s="2" t="s">
        <v>21</v>
      </c>
      <c r="F398" s="4">
        <v>14.1</v>
      </c>
      <c r="G398" s="4">
        <v>3119.2</v>
      </c>
      <c r="H398" s="2" t="s">
        <v>39</v>
      </c>
      <c r="I398" s="2" t="s">
        <v>238</v>
      </c>
      <c r="J398" s="3">
        <v>135</v>
      </c>
      <c r="K398" s="5">
        <v>1.2</v>
      </c>
      <c r="L398" s="4">
        <v>67.5</v>
      </c>
      <c r="M398" s="4">
        <v>2852.3</v>
      </c>
      <c r="N398" s="4">
        <v>30.1</v>
      </c>
      <c r="O398" s="4">
        <v>10.199999999999999</v>
      </c>
      <c r="P398" s="4">
        <v>797.9</v>
      </c>
      <c r="Q398" s="5">
        <v>0.96</v>
      </c>
    </row>
    <row r="399" spans="1:17">
      <c r="A399" s="3">
        <v>397</v>
      </c>
      <c r="B399" s="2" t="s">
        <v>249</v>
      </c>
      <c r="C399" s="2" t="s">
        <v>57</v>
      </c>
      <c r="D399" s="2" t="s">
        <v>250</v>
      </c>
      <c r="E399" s="2" t="s">
        <v>21</v>
      </c>
      <c r="F399" s="4">
        <v>11.4</v>
      </c>
      <c r="G399" s="4">
        <v>3111.8</v>
      </c>
      <c r="H399" s="2" t="s">
        <v>39</v>
      </c>
      <c r="I399" s="2" t="s">
        <v>238</v>
      </c>
      <c r="J399" s="3">
        <v>135</v>
      </c>
      <c r="K399" s="5">
        <v>1.2</v>
      </c>
      <c r="L399" s="4">
        <v>71.2</v>
      </c>
      <c r="M399" s="4">
        <v>2852.4</v>
      </c>
      <c r="N399" s="4">
        <v>30.1</v>
      </c>
      <c r="O399" s="4">
        <v>10.199999999999999</v>
      </c>
      <c r="P399" s="4">
        <v>841.8</v>
      </c>
      <c r="Q399" s="5">
        <v>1.01</v>
      </c>
    </row>
    <row r="400" spans="1:17">
      <c r="A400" s="3">
        <v>398</v>
      </c>
      <c r="B400" s="2" t="s">
        <v>249</v>
      </c>
      <c r="C400" s="2" t="s">
        <v>19</v>
      </c>
      <c r="D400" s="2" t="s">
        <v>250</v>
      </c>
      <c r="E400" s="2" t="s">
        <v>21</v>
      </c>
      <c r="F400" s="4">
        <v>14.8</v>
      </c>
      <c r="G400" s="4">
        <v>3111.6</v>
      </c>
      <c r="H400" s="2" t="s">
        <v>39</v>
      </c>
      <c r="I400" s="2" t="s">
        <v>238</v>
      </c>
      <c r="J400" s="3">
        <v>135</v>
      </c>
      <c r="K400" s="5">
        <v>1.2</v>
      </c>
      <c r="L400" s="4">
        <v>67.7</v>
      </c>
      <c r="M400" s="4">
        <v>2852.6</v>
      </c>
      <c r="N400" s="4">
        <v>30.1</v>
      </c>
      <c r="O400" s="4">
        <v>10.199999999999999</v>
      </c>
      <c r="P400" s="4">
        <v>800.5</v>
      </c>
      <c r="Q400" s="5">
        <v>0.96</v>
      </c>
    </row>
    <row r="401" spans="1:17">
      <c r="A401" s="3">
        <v>399</v>
      </c>
      <c r="B401" s="2" t="s">
        <v>249</v>
      </c>
      <c r="C401" s="2" t="s">
        <v>45</v>
      </c>
      <c r="D401" s="2" t="s">
        <v>250</v>
      </c>
      <c r="E401" s="2" t="s">
        <v>21</v>
      </c>
      <c r="F401" s="4">
        <v>11.4</v>
      </c>
      <c r="G401" s="4">
        <v>3126.5</v>
      </c>
      <c r="H401" s="2" t="s">
        <v>39</v>
      </c>
      <c r="I401" s="2" t="s">
        <v>238</v>
      </c>
      <c r="J401" s="3">
        <v>135</v>
      </c>
      <c r="K401" s="5">
        <v>1.2</v>
      </c>
      <c r="L401" s="4">
        <v>70.5</v>
      </c>
      <c r="M401" s="4">
        <v>2853</v>
      </c>
      <c r="N401" s="4">
        <v>30.1</v>
      </c>
      <c r="O401" s="4">
        <v>10.199999999999999</v>
      </c>
      <c r="P401" s="4">
        <v>834.1</v>
      </c>
      <c r="Q401" s="5">
        <v>1</v>
      </c>
    </row>
    <row r="402" spans="1:17">
      <c r="A402" s="3">
        <v>400</v>
      </c>
      <c r="B402" s="2" t="s">
        <v>245</v>
      </c>
      <c r="C402" s="2" t="s">
        <v>19</v>
      </c>
      <c r="D402" s="2" t="s">
        <v>144</v>
      </c>
      <c r="E402" s="2" t="s">
        <v>35</v>
      </c>
      <c r="F402" s="4">
        <v>29.8</v>
      </c>
      <c r="G402" s="4">
        <v>3120.8</v>
      </c>
      <c r="H402" s="2" t="s">
        <v>39</v>
      </c>
      <c r="I402" s="2" t="s">
        <v>23</v>
      </c>
      <c r="J402" s="3">
        <v>210</v>
      </c>
      <c r="K402" s="5">
        <v>1.2</v>
      </c>
      <c r="L402" s="4">
        <v>50</v>
      </c>
      <c r="M402" s="4">
        <v>3100.1</v>
      </c>
      <c r="N402" s="4">
        <v>27.7</v>
      </c>
      <c r="O402" s="4">
        <v>10.4</v>
      </c>
      <c r="P402" s="4">
        <v>920.5</v>
      </c>
      <c r="Q402" s="5">
        <v>1.1100000000000001</v>
      </c>
    </row>
    <row r="403" spans="1:17">
      <c r="A403" s="3">
        <v>401</v>
      </c>
      <c r="B403" s="2" t="s">
        <v>248</v>
      </c>
      <c r="C403" s="2" t="s">
        <v>78</v>
      </c>
      <c r="D403" s="2" t="s">
        <v>58</v>
      </c>
      <c r="E403" s="2" t="s">
        <v>35</v>
      </c>
      <c r="F403" s="4">
        <v>43.5</v>
      </c>
      <c r="G403" s="4">
        <v>2800</v>
      </c>
      <c r="H403" s="2" t="s">
        <v>43</v>
      </c>
      <c r="I403" s="2" t="s">
        <v>23</v>
      </c>
      <c r="J403" s="3">
        <v>210</v>
      </c>
      <c r="K403" s="5">
        <v>1.21</v>
      </c>
      <c r="L403" s="4">
        <v>40.4</v>
      </c>
      <c r="M403" s="4">
        <v>3165.1</v>
      </c>
      <c r="N403" s="4">
        <v>27.2</v>
      </c>
      <c r="O403" s="4">
        <v>13</v>
      </c>
      <c r="P403" s="4">
        <v>744</v>
      </c>
      <c r="Q403" s="5">
        <v>0.9</v>
      </c>
    </row>
    <row r="404" spans="1:17">
      <c r="A404" s="3">
        <v>402</v>
      </c>
      <c r="B404" s="2" t="s">
        <v>251</v>
      </c>
      <c r="C404" s="2" t="s">
        <v>19</v>
      </c>
      <c r="D404" s="2" t="s">
        <v>252</v>
      </c>
      <c r="E404" s="2" t="s">
        <v>21</v>
      </c>
      <c r="F404" s="4">
        <v>12.6</v>
      </c>
      <c r="G404" s="4">
        <v>3475</v>
      </c>
      <c r="H404" s="2" t="s">
        <v>39</v>
      </c>
      <c r="I404" s="2" t="s">
        <v>23</v>
      </c>
      <c r="J404" s="3">
        <v>45</v>
      </c>
      <c r="K404" s="5">
        <v>1.21</v>
      </c>
      <c r="L404" s="4">
        <v>42.1</v>
      </c>
      <c r="M404" s="4">
        <v>3185.8</v>
      </c>
      <c r="N404" s="4">
        <v>27</v>
      </c>
      <c r="O404" s="4">
        <v>9.3000000000000007</v>
      </c>
      <c r="P404" s="4">
        <v>166.1</v>
      </c>
      <c r="Q404" s="5">
        <v>0.2</v>
      </c>
    </row>
    <row r="405" spans="1:17">
      <c r="A405" s="3">
        <v>403</v>
      </c>
      <c r="B405" s="2" t="s">
        <v>251</v>
      </c>
      <c r="C405" s="2" t="s">
        <v>24</v>
      </c>
      <c r="D405" s="2" t="s">
        <v>252</v>
      </c>
      <c r="E405" s="2" t="s">
        <v>21</v>
      </c>
      <c r="F405" s="4">
        <v>12.4</v>
      </c>
      <c r="G405" s="4">
        <v>3475</v>
      </c>
      <c r="H405" s="2" t="s">
        <v>39</v>
      </c>
      <c r="I405" s="2" t="s">
        <v>23</v>
      </c>
      <c r="J405" s="3">
        <v>45</v>
      </c>
      <c r="K405" s="5">
        <v>1.21</v>
      </c>
      <c r="L405" s="4">
        <v>31.3</v>
      </c>
      <c r="M405" s="4">
        <v>3185.8</v>
      </c>
      <c r="N405" s="4">
        <v>27</v>
      </c>
      <c r="O405" s="4">
        <v>9.3000000000000007</v>
      </c>
      <c r="P405" s="4">
        <v>123.5</v>
      </c>
      <c r="Q405" s="5">
        <v>0.15</v>
      </c>
    </row>
    <row r="406" spans="1:17">
      <c r="A406" s="3">
        <v>404</v>
      </c>
      <c r="B406" s="2" t="s">
        <v>245</v>
      </c>
      <c r="C406" s="2" t="s">
        <v>41</v>
      </c>
      <c r="D406" s="2" t="s">
        <v>144</v>
      </c>
      <c r="E406" s="2" t="s">
        <v>35</v>
      </c>
      <c r="F406" s="4">
        <v>28.4</v>
      </c>
      <c r="G406" s="4">
        <v>3116</v>
      </c>
      <c r="H406" s="2" t="s">
        <v>39</v>
      </c>
      <c r="I406" s="2" t="s">
        <v>23</v>
      </c>
      <c r="J406" s="3">
        <v>210</v>
      </c>
      <c r="K406" s="5">
        <v>1.21</v>
      </c>
      <c r="L406" s="4">
        <v>49.4</v>
      </c>
      <c r="M406" s="4">
        <v>3125</v>
      </c>
      <c r="N406" s="4">
        <v>27.5</v>
      </c>
      <c r="O406" s="4">
        <v>9.8000000000000007</v>
      </c>
      <c r="P406" s="4">
        <v>909.6</v>
      </c>
      <c r="Q406" s="5">
        <v>1.1000000000000001</v>
      </c>
    </row>
    <row r="407" spans="1:17">
      <c r="A407" s="3">
        <v>405</v>
      </c>
      <c r="B407" s="2" t="s">
        <v>253</v>
      </c>
      <c r="C407" s="2" t="s">
        <v>24</v>
      </c>
      <c r="D407" s="2" t="s">
        <v>252</v>
      </c>
      <c r="E407" s="2" t="s">
        <v>21</v>
      </c>
      <c r="F407" s="4">
        <v>12.4</v>
      </c>
      <c r="G407" s="4">
        <v>3432</v>
      </c>
      <c r="H407" s="2" t="s">
        <v>39</v>
      </c>
      <c r="I407" s="2" t="s">
        <v>23</v>
      </c>
      <c r="J407" s="3">
        <v>45</v>
      </c>
      <c r="K407" s="5">
        <v>1.21</v>
      </c>
      <c r="L407" s="4">
        <v>33.200000000000003</v>
      </c>
      <c r="M407" s="4">
        <v>3195.2</v>
      </c>
      <c r="N407" s="4">
        <v>26.9</v>
      </c>
      <c r="O407" s="4">
        <v>9.3000000000000007</v>
      </c>
      <c r="P407" s="4">
        <v>130.80000000000001</v>
      </c>
      <c r="Q407" s="5">
        <v>0.16</v>
      </c>
    </row>
    <row r="408" spans="1:17">
      <c r="A408" s="3">
        <v>406</v>
      </c>
      <c r="B408" s="2" t="s">
        <v>253</v>
      </c>
      <c r="C408" s="2" t="s">
        <v>19</v>
      </c>
      <c r="D408" s="2" t="s">
        <v>252</v>
      </c>
      <c r="E408" s="2" t="s">
        <v>21</v>
      </c>
      <c r="F408" s="4">
        <v>12.5</v>
      </c>
      <c r="G408" s="4">
        <v>3432</v>
      </c>
      <c r="H408" s="2" t="s">
        <v>39</v>
      </c>
      <c r="I408" s="2" t="s">
        <v>23</v>
      </c>
      <c r="J408" s="3">
        <v>45</v>
      </c>
      <c r="K408" s="5">
        <v>1.21</v>
      </c>
      <c r="L408" s="4">
        <v>31.9</v>
      </c>
      <c r="M408" s="4">
        <v>3195.2</v>
      </c>
      <c r="N408" s="4">
        <v>26.9</v>
      </c>
      <c r="O408" s="4">
        <v>9.3000000000000007</v>
      </c>
      <c r="P408" s="4">
        <v>125.6</v>
      </c>
      <c r="Q408" s="5">
        <v>0.15</v>
      </c>
    </row>
    <row r="409" spans="1:17">
      <c r="A409" s="3">
        <v>407</v>
      </c>
      <c r="B409" s="2" t="s">
        <v>254</v>
      </c>
      <c r="C409" s="2" t="s">
        <v>19</v>
      </c>
      <c r="D409" s="2" t="s">
        <v>34</v>
      </c>
      <c r="E409" s="2" t="s">
        <v>35</v>
      </c>
      <c r="F409" s="4">
        <v>54.2</v>
      </c>
      <c r="G409" s="4">
        <v>3664</v>
      </c>
      <c r="H409" s="2" t="s">
        <v>36</v>
      </c>
      <c r="I409" s="2" t="s">
        <v>23</v>
      </c>
      <c r="J409" s="3">
        <v>62.5</v>
      </c>
      <c r="K409" s="5">
        <v>1.21</v>
      </c>
      <c r="L409" s="4">
        <v>42.4</v>
      </c>
      <c r="M409" s="4">
        <v>3168.4</v>
      </c>
      <c r="N409" s="4">
        <v>27.1</v>
      </c>
      <c r="O409" s="4">
        <v>14.4</v>
      </c>
      <c r="P409" s="4">
        <v>232.2</v>
      </c>
      <c r="Q409" s="5">
        <v>0.28000000000000003</v>
      </c>
    </row>
    <row r="410" spans="1:17">
      <c r="A410" s="3">
        <v>408</v>
      </c>
      <c r="B410" s="2" t="s">
        <v>255</v>
      </c>
      <c r="C410" s="2" t="s">
        <v>51</v>
      </c>
      <c r="D410" s="2" t="s">
        <v>58</v>
      </c>
      <c r="E410" s="2" t="s">
        <v>35</v>
      </c>
      <c r="F410" s="4">
        <v>42.4</v>
      </c>
      <c r="G410" s="4">
        <v>3227</v>
      </c>
      <c r="H410" s="2" t="s">
        <v>39</v>
      </c>
      <c r="I410" s="2" t="s">
        <v>23</v>
      </c>
      <c r="J410" s="3">
        <v>210</v>
      </c>
      <c r="K410" s="5">
        <v>1.22</v>
      </c>
      <c r="L410" s="4">
        <v>63.4</v>
      </c>
      <c r="M410" s="4">
        <v>3160.6</v>
      </c>
      <c r="N410" s="4">
        <v>27.2</v>
      </c>
      <c r="O410" s="4">
        <v>11.5</v>
      </c>
      <c r="P410" s="4">
        <v>1167</v>
      </c>
      <c r="Q410" s="5">
        <v>1.42</v>
      </c>
    </row>
    <row r="411" spans="1:17">
      <c r="A411" s="3">
        <v>409</v>
      </c>
      <c r="B411" s="2" t="s">
        <v>256</v>
      </c>
      <c r="C411" s="2" t="s">
        <v>19</v>
      </c>
      <c r="D411" s="2" t="s">
        <v>252</v>
      </c>
      <c r="E411" s="2" t="s">
        <v>21</v>
      </c>
      <c r="F411" s="4">
        <v>12.8</v>
      </c>
      <c r="G411" s="4">
        <v>3546</v>
      </c>
      <c r="H411" s="2" t="s">
        <v>36</v>
      </c>
      <c r="I411" s="2" t="s">
        <v>23</v>
      </c>
      <c r="J411" s="3">
        <v>45</v>
      </c>
      <c r="K411" s="5">
        <v>1.22</v>
      </c>
      <c r="L411" s="4">
        <v>32</v>
      </c>
      <c r="M411" s="4">
        <v>3208</v>
      </c>
      <c r="N411" s="4">
        <v>26.8</v>
      </c>
      <c r="O411" s="4">
        <v>6.5</v>
      </c>
      <c r="P411" s="4">
        <v>126</v>
      </c>
      <c r="Q411" s="5">
        <v>0.15</v>
      </c>
    </row>
    <row r="412" spans="1:17">
      <c r="A412" s="3">
        <v>410</v>
      </c>
      <c r="B412" s="2" t="s">
        <v>257</v>
      </c>
      <c r="C412" s="2" t="s">
        <v>19</v>
      </c>
      <c r="D412" s="2" t="s">
        <v>252</v>
      </c>
      <c r="E412" s="2" t="s">
        <v>21</v>
      </c>
      <c r="F412" s="4">
        <v>12.8</v>
      </c>
      <c r="G412" s="4">
        <v>3441</v>
      </c>
      <c r="H412" s="2" t="s">
        <v>39</v>
      </c>
      <c r="I412" s="2" t="s">
        <v>23</v>
      </c>
      <c r="J412" s="3">
        <v>45</v>
      </c>
      <c r="K412" s="5">
        <v>1.22</v>
      </c>
      <c r="L412" s="4">
        <v>33.799999999999997</v>
      </c>
      <c r="M412" s="4">
        <v>3209.1</v>
      </c>
      <c r="N412" s="4">
        <v>26.8</v>
      </c>
      <c r="O412" s="4">
        <v>9.6</v>
      </c>
      <c r="P412" s="4">
        <v>133.30000000000001</v>
      </c>
      <c r="Q412" s="5">
        <v>0.16</v>
      </c>
    </row>
    <row r="413" spans="1:17">
      <c r="A413" s="3">
        <v>411</v>
      </c>
      <c r="B413" s="2" t="s">
        <v>257</v>
      </c>
      <c r="C413" s="2" t="s">
        <v>24</v>
      </c>
      <c r="D413" s="2" t="s">
        <v>252</v>
      </c>
      <c r="E413" s="2" t="s">
        <v>21</v>
      </c>
      <c r="F413" s="4">
        <v>12.5</v>
      </c>
      <c r="G413" s="4">
        <v>3441</v>
      </c>
      <c r="H413" s="2" t="s">
        <v>39</v>
      </c>
      <c r="I413" s="2" t="s">
        <v>23</v>
      </c>
      <c r="J413" s="3">
        <v>45</v>
      </c>
      <c r="K413" s="5">
        <v>1.22</v>
      </c>
      <c r="L413" s="4">
        <v>32.9</v>
      </c>
      <c r="M413" s="4">
        <v>3209</v>
      </c>
      <c r="N413" s="4">
        <v>26.8</v>
      </c>
      <c r="O413" s="4">
        <v>9.6</v>
      </c>
      <c r="P413" s="4">
        <v>129.5</v>
      </c>
      <c r="Q413" s="5">
        <v>0.16</v>
      </c>
    </row>
    <row r="414" spans="1:17">
      <c r="A414" s="3">
        <v>412</v>
      </c>
      <c r="B414" s="2" t="s">
        <v>258</v>
      </c>
      <c r="C414" s="2" t="s">
        <v>41</v>
      </c>
      <c r="D414" s="2" t="s">
        <v>234</v>
      </c>
      <c r="E414" s="2" t="s">
        <v>35</v>
      </c>
      <c r="F414" s="4">
        <v>36.4</v>
      </c>
      <c r="G414" s="4">
        <v>3867.4</v>
      </c>
      <c r="H414" s="2" t="s">
        <v>36</v>
      </c>
      <c r="I414" s="2" t="s">
        <v>23</v>
      </c>
      <c r="J414" s="3">
        <v>210</v>
      </c>
      <c r="K414" s="5">
        <v>1.22</v>
      </c>
      <c r="L414" s="4">
        <v>43.6</v>
      </c>
      <c r="M414" s="4">
        <v>3192.2</v>
      </c>
      <c r="N414" s="4">
        <v>26.9</v>
      </c>
      <c r="O414" s="4">
        <v>9.6</v>
      </c>
      <c r="P414" s="4">
        <v>801.4</v>
      </c>
      <c r="Q414" s="5">
        <v>0.98</v>
      </c>
    </row>
    <row r="415" spans="1:17">
      <c r="A415" s="3">
        <v>413</v>
      </c>
      <c r="B415" s="2" t="s">
        <v>258</v>
      </c>
      <c r="C415" s="2" t="s">
        <v>51</v>
      </c>
      <c r="D415" s="2" t="s">
        <v>234</v>
      </c>
      <c r="E415" s="2" t="s">
        <v>35</v>
      </c>
      <c r="F415" s="4">
        <v>31.4</v>
      </c>
      <c r="G415" s="4">
        <v>3867.4</v>
      </c>
      <c r="H415" s="2" t="s">
        <v>36</v>
      </c>
      <c r="I415" s="2" t="s">
        <v>23</v>
      </c>
      <c r="J415" s="3">
        <v>210</v>
      </c>
      <c r="K415" s="5">
        <v>1.22</v>
      </c>
      <c r="L415" s="4">
        <v>49.7</v>
      </c>
      <c r="M415" s="4">
        <v>3192.2</v>
      </c>
      <c r="N415" s="4">
        <v>26.9</v>
      </c>
      <c r="O415" s="4">
        <v>9.6</v>
      </c>
      <c r="P415" s="4">
        <v>914.9</v>
      </c>
      <c r="Q415" s="5">
        <v>1.1100000000000001</v>
      </c>
    </row>
    <row r="416" spans="1:17">
      <c r="A416" s="3">
        <v>414</v>
      </c>
      <c r="B416" s="2" t="s">
        <v>258</v>
      </c>
      <c r="C416" s="2" t="s">
        <v>78</v>
      </c>
      <c r="D416" s="2" t="s">
        <v>234</v>
      </c>
      <c r="E416" s="2" t="s">
        <v>35</v>
      </c>
      <c r="F416" s="4">
        <v>32.4</v>
      </c>
      <c r="G416" s="4">
        <v>3867.4</v>
      </c>
      <c r="H416" s="2" t="s">
        <v>36</v>
      </c>
      <c r="I416" s="2" t="s">
        <v>23</v>
      </c>
      <c r="J416" s="3">
        <v>210</v>
      </c>
      <c r="K416" s="5">
        <v>1.22</v>
      </c>
      <c r="L416" s="4">
        <v>35.700000000000003</v>
      </c>
      <c r="M416" s="4">
        <v>3192.2</v>
      </c>
      <c r="N416" s="4">
        <v>26.9</v>
      </c>
      <c r="O416" s="4">
        <v>9.6</v>
      </c>
      <c r="P416" s="4">
        <v>656.7</v>
      </c>
      <c r="Q416" s="5">
        <v>0.8</v>
      </c>
    </row>
    <row r="417" spans="1:17">
      <c r="A417" s="3">
        <v>415</v>
      </c>
      <c r="B417" s="2" t="s">
        <v>258</v>
      </c>
      <c r="C417" s="2" t="s">
        <v>33</v>
      </c>
      <c r="D417" s="2" t="s">
        <v>234</v>
      </c>
      <c r="E417" s="2" t="s">
        <v>35</v>
      </c>
      <c r="F417" s="4">
        <v>35.5</v>
      </c>
      <c r="G417" s="4">
        <v>3867.4</v>
      </c>
      <c r="H417" s="2" t="s">
        <v>36</v>
      </c>
      <c r="I417" s="2" t="s">
        <v>23</v>
      </c>
      <c r="J417" s="3">
        <v>210</v>
      </c>
      <c r="K417" s="5">
        <v>1.22</v>
      </c>
      <c r="L417" s="4">
        <v>44.6</v>
      </c>
      <c r="M417" s="4">
        <v>3192.3</v>
      </c>
      <c r="N417" s="4">
        <v>26.9</v>
      </c>
      <c r="O417" s="4">
        <v>9.6</v>
      </c>
      <c r="P417" s="4">
        <v>820.7</v>
      </c>
      <c r="Q417" s="5">
        <v>1</v>
      </c>
    </row>
    <row r="418" spans="1:17">
      <c r="A418" s="3">
        <v>416</v>
      </c>
      <c r="B418" s="2" t="s">
        <v>259</v>
      </c>
      <c r="C418" s="2" t="s">
        <v>19</v>
      </c>
      <c r="D418" s="2" t="s">
        <v>252</v>
      </c>
      <c r="E418" s="2" t="s">
        <v>21</v>
      </c>
      <c r="F418" s="4">
        <v>13</v>
      </c>
      <c r="G418" s="4">
        <v>3496</v>
      </c>
      <c r="H418" s="2" t="s">
        <v>39</v>
      </c>
      <c r="I418" s="2" t="s">
        <v>23</v>
      </c>
      <c r="J418" s="3">
        <v>45</v>
      </c>
      <c r="K418" s="5">
        <v>1.22</v>
      </c>
      <c r="L418" s="4">
        <v>34.299999999999997</v>
      </c>
      <c r="M418" s="4">
        <v>3213.1</v>
      </c>
      <c r="N418" s="4">
        <v>26.8</v>
      </c>
      <c r="O418" s="4">
        <v>9.6999999999999993</v>
      </c>
      <c r="P418" s="4">
        <v>135.30000000000001</v>
      </c>
      <c r="Q418" s="5">
        <v>0.16</v>
      </c>
    </row>
    <row r="419" spans="1:17">
      <c r="A419" s="3">
        <v>417</v>
      </c>
      <c r="B419" s="2" t="s">
        <v>256</v>
      </c>
      <c r="C419" s="2" t="s">
        <v>24</v>
      </c>
      <c r="D419" s="2" t="s">
        <v>252</v>
      </c>
      <c r="E419" s="2" t="s">
        <v>21</v>
      </c>
      <c r="F419" s="4">
        <v>12.5</v>
      </c>
      <c r="G419" s="4">
        <v>3546</v>
      </c>
      <c r="H419" s="2" t="s">
        <v>36</v>
      </c>
      <c r="I419" s="2" t="s">
        <v>23</v>
      </c>
      <c r="J419" s="3">
        <v>45</v>
      </c>
      <c r="K419" s="5">
        <v>1.22</v>
      </c>
      <c r="L419" s="4">
        <v>35</v>
      </c>
      <c r="M419" s="4">
        <v>3213.3</v>
      </c>
      <c r="N419" s="4">
        <v>26.8</v>
      </c>
      <c r="O419" s="4">
        <v>6.5</v>
      </c>
      <c r="P419" s="4">
        <v>137.9</v>
      </c>
      <c r="Q419" s="5">
        <v>0.17</v>
      </c>
    </row>
    <row r="420" spans="1:17">
      <c r="A420" s="3">
        <v>418</v>
      </c>
      <c r="B420" s="2" t="s">
        <v>259</v>
      </c>
      <c r="C420" s="2" t="s">
        <v>24</v>
      </c>
      <c r="D420" s="2" t="s">
        <v>252</v>
      </c>
      <c r="E420" s="2" t="s">
        <v>21</v>
      </c>
      <c r="F420" s="4">
        <v>12.7</v>
      </c>
      <c r="G420" s="4">
        <v>3496</v>
      </c>
      <c r="H420" s="2" t="s">
        <v>39</v>
      </c>
      <c r="I420" s="2" t="s">
        <v>23</v>
      </c>
      <c r="J420" s="3">
        <v>45</v>
      </c>
      <c r="K420" s="5">
        <v>1.22</v>
      </c>
      <c r="L420" s="4">
        <v>25.8</v>
      </c>
      <c r="M420" s="4">
        <v>3213.1</v>
      </c>
      <c r="N420" s="4">
        <v>26.8</v>
      </c>
      <c r="O420" s="4">
        <v>9.6999999999999993</v>
      </c>
      <c r="P420" s="4">
        <v>101.5</v>
      </c>
      <c r="Q420" s="5">
        <v>0.12</v>
      </c>
    </row>
    <row r="421" spans="1:17">
      <c r="A421" s="3">
        <v>419</v>
      </c>
      <c r="B421" s="2" t="s">
        <v>260</v>
      </c>
      <c r="C421" s="2" t="s">
        <v>19</v>
      </c>
      <c r="D421" s="2" t="s">
        <v>247</v>
      </c>
      <c r="E421" s="2" t="s">
        <v>47</v>
      </c>
      <c r="F421" s="4">
        <v>14.1</v>
      </c>
      <c r="G421" s="4">
        <v>2912</v>
      </c>
      <c r="H421" s="2" t="s">
        <v>43</v>
      </c>
      <c r="I421" s="2" t="s">
        <v>238</v>
      </c>
      <c r="J421" s="3">
        <v>125</v>
      </c>
      <c r="K421" s="5">
        <v>1.22</v>
      </c>
      <c r="L421" s="4">
        <v>63.2</v>
      </c>
      <c r="M421" s="4">
        <v>2895.2</v>
      </c>
      <c r="N421" s="4">
        <v>29.7</v>
      </c>
      <c r="O421" s="4">
        <v>12.6</v>
      </c>
      <c r="P421" s="4">
        <v>692</v>
      </c>
      <c r="Q421" s="5">
        <v>0.84</v>
      </c>
    </row>
    <row r="422" spans="1:17">
      <c r="A422" s="3">
        <v>420</v>
      </c>
      <c r="B422" s="2" t="s">
        <v>260</v>
      </c>
      <c r="C422" s="2" t="s">
        <v>24</v>
      </c>
      <c r="D422" s="2" t="s">
        <v>247</v>
      </c>
      <c r="E422" s="2" t="s">
        <v>47</v>
      </c>
      <c r="F422" s="4">
        <v>13.5</v>
      </c>
      <c r="G422" s="4">
        <v>2912</v>
      </c>
      <c r="H422" s="2" t="s">
        <v>43</v>
      </c>
      <c r="I422" s="2" t="s">
        <v>238</v>
      </c>
      <c r="J422" s="3">
        <v>125</v>
      </c>
      <c r="K422" s="5">
        <v>1.22</v>
      </c>
      <c r="L422" s="4">
        <v>73.8</v>
      </c>
      <c r="M422" s="4">
        <v>2908.4</v>
      </c>
      <c r="N422" s="4">
        <v>29.6</v>
      </c>
      <c r="O422" s="4">
        <v>12.6</v>
      </c>
      <c r="P422" s="4">
        <v>808</v>
      </c>
      <c r="Q422" s="5">
        <v>0.99</v>
      </c>
    </row>
    <row r="423" spans="1:17">
      <c r="A423" s="3">
        <v>421</v>
      </c>
      <c r="B423" s="2" t="s">
        <v>261</v>
      </c>
      <c r="C423" s="2" t="s">
        <v>24</v>
      </c>
      <c r="D423" s="2" t="s">
        <v>262</v>
      </c>
      <c r="E423" s="2" t="s">
        <v>21</v>
      </c>
      <c r="F423" s="4">
        <v>7.7</v>
      </c>
      <c r="G423" s="4">
        <v>2156</v>
      </c>
      <c r="H423" s="2" t="s">
        <v>43</v>
      </c>
      <c r="I423" s="2" t="s">
        <v>23</v>
      </c>
      <c r="J423" s="3">
        <v>50</v>
      </c>
      <c r="K423" s="5">
        <v>1.23</v>
      </c>
      <c r="L423" s="4">
        <v>56</v>
      </c>
      <c r="M423" s="4">
        <v>3251.1</v>
      </c>
      <c r="N423" s="4">
        <v>26.4</v>
      </c>
      <c r="O423" s="4">
        <v>11.9</v>
      </c>
      <c r="P423" s="4">
        <v>245.4</v>
      </c>
      <c r="Q423" s="5">
        <v>0.3</v>
      </c>
    </row>
    <row r="424" spans="1:17">
      <c r="A424" s="3">
        <v>422</v>
      </c>
      <c r="B424" s="2" t="s">
        <v>244</v>
      </c>
      <c r="C424" s="2" t="s">
        <v>19</v>
      </c>
      <c r="D424" s="2" t="s">
        <v>215</v>
      </c>
      <c r="E424" s="2" t="s">
        <v>35</v>
      </c>
      <c r="F424" s="4">
        <v>16.7</v>
      </c>
      <c r="G424" s="4">
        <v>3651.5</v>
      </c>
      <c r="H424" s="2" t="s">
        <v>36</v>
      </c>
      <c r="I424" s="2" t="s">
        <v>23</v>
      </c>
      <c r="J424" s="3">
        <v>500</v>
      </c>
      <c r="K424" s="5">
        <v>1.24</v>
      </c>
      <c r="L424" s="4">
        <v>45.2</v>
      </c>
      <c r="M424" s="4">
        <v>3251.7</v>
      </c>
      <c r="N424" s="4">
        <v>26.4</v>
      </c>
      <c r="O424" s="4">
        <v>8</v>
      </c>
      <c r="P424" s="4">
        <v>1980</v>
      </c>
      <c r="Q424" s="5">
        <v>2.4500000000000002</v>
      </c>
    </row>
    <row r="425" spans="1:17">
      <c r="A425" s="3">
        <v>423</v>
      </c>
      <c r="B425" s="2" t="s">
        <v>232</v>
      </c>
      <c r="C425" s="2" t="s">
        <v>24</v>
      </c>
      <c r="D425" s="2" t="s">
        <v>149</v>
      </c>
      <c r="E425" s="2" t="s">
        <v>35</v>
      </c>
      <c r="F425" s="4">
        <v>40.4</v>
      </c>
      <c r="G425" s="4">
        <v>3640</v>
      </c>
      <c r="H425" s="2" t="s">
        <v>36</v>
      </c>
      <c r="I425" s="2" t="s">
        <v>23</v>
      </c>
      <c r="J425" s="3">
        <v>210</v>
      </c>
      <c r="K425" s="5">
        <v>1.24</v>
      </c>
      <c r="L425" s="4">
        <v>65.7</v>
      </c>
      <c r="M425" s="4">
        <v>3263.7</v>
      </c>
      <c r="N425" s="4">
        <v>26.3</v>
      </c>
      <c r="O425" s="4">
        <v>10.5</v>
      </c>
      <c r="P425" s="4">
        <v>1209</v>
      </c>
      <c r="Q425" s="5">
        <v>1.5</v>
      </c>
    </row>
    <row r="426" spans="1:17">
      <c r="A426" s="3">
        <v>424</v>
      </c>
      <c r="B426" s="2" t="s">
        <v>223</v>
      </c>
      <c r="C426" s="2" t="s">
        <v>24</v>
      </c>
      <c r="D426" s="2" t="s">
        <v>162</v>
      </c>
      <c r="E426" s="2" t="s">
        <v>35</v>
      </c>
      <c r="F426" s="4">
        <v>41.6</v>
      </c>
      <c r="G426" s="4">
        <v>3648.5</v>
      </c>
      <c r="H426" s="2" t="s">
        <v>36</v>
      </c>
      <c r="I426" s="2" t="s">
        <v>23</v>
      </c>
      <c r="J426" s="3">
        <v>210</v>
      </c>
      <c r="K426" s="5">
        <v>1.24</v>
      </c>
      <c r="L426" s="4">
        <v>35.700000000000003</v>
      </c>
      <c r="M426" s="4">
        <v>3142</v>
      </c>
      <c r="N426" s="4">
        <v>27.4</v>
      </c>
      <c r="O426" s="4">
        <v>10.6</v>
      </c>
      <c r="P426" s="4">
        <v>657</v>
      </c>
      <c r="Q426" s="5">
        <v>0.82</v>
      </c>
    </row>
    <row r="427" spans="1:17">
      <c r="A427" s="3">
        <v>425</v>
      </c>
      <c r="B427" s="2" t="s">
        <v>263</v>
      </c>
      <c r="C427" s="2" t="s">
        <v>19</v>
      </c>
      <c r="D427" s="2" t="s">
        <v>264</v>
      </c>
      <c r="E427" s="2" t="s">
        <v>21</v>
      </c>
      <c r="F427" s="4">
        <v>21.8</v>
      </c>
      <c r="G427" s="4">
        <v>2815.9</v>
      </c>
      <c r="H427" s="2" t="s">
        <v>43</v>
      </c>
      <c r="I427" s="2" t="s">
        <v>238</v>
      </c>
      <c r="J427" s="3">
        <v>250</v>
      </c>
      <c r="K427" s="5">
        <v>1.25</v>
      </c>
      <c r="L427" s="4">
        <v>51.1</v>
      </c>
      <c r="M427" s="4">
        <v>2966.1</v>
      </c>
      <c r="N427" s="4">
        <v>29</v>
      </c>
      <c r="O427" s="4">
        <v>8</v>
      </c>
      <c r="P427" s="4">
        <v>1119.5</v>
      </c>
      <c r="Q427" s="5">
        <v>1.4</v>
      </c>
    </row>
    <row r="428" spans="1:17">
      <c r="A428" s="3">
        <v>426</v>
      </c>
      <c r="B428" s="2" t="s">
        <v>265</v>
      </c>
      <c r="C428" s="2" t="s">
        <v>24</v>
      </c>
      <c r="D428" s="2" t="s">
        <v>247</v>
      </c>
      <c r="E428" s="2" t="s">
        <v>47</v>
      </c>
      <c r="F428" s="4">
        <v>21</v>
      </c>
      <c r="G428" s="4">
        <v>2653</v>
      </c>
      <c r="H428" s="2" t="s">
        <v>43</v>
      </c>
      <c r="I428" s="2" t="s">
        <v>238</v>
      </c>
      <c r="J428" s="3">
        <v>210</v>
      </c>
      <c r="K428" s="5">
        <v>1.25</v>
      </c>
      <c r="L428" s="4">
        <v>71.3</v>
      </c>
      <c r="M428" s="4">
        <v>2975.9</v>
      </c>
      <c r="N428" s="4">
        <v>28.9</v>
      </c>
      <c r="O428" s="4">
        <v>9</v>
      </c>
      <c r="P428" s="4">
        <v>1310.9</v>
      </c>
      <c r="Q428" s="5">
        <v>1.64</v>
      </c>
    </row>
    <row r="429" spans="1:17">
      <c r="A429" s="3">
        <v>427</v>
      </c>
      <c r="B429" s="2" t="s">
        <v>265</v>
      </c>
      <c r="C429" s="2" t="s">
        <v>19</v>
      </c>
      <c r="D429" s="2" t="s">
        <v>247</v>
      </c>
      <c r="E429" s="2" t="s">
        <v>47</v>
      </c>
      <c r="F429" s="4">
        <v>21.8</v>
      </c>
      <c r="G429" s="4">
        <v>2653</v>
      </c>
      <c r="H429" s="2" t="s">
        <v>43</v>
      </c>
      <c r="I429" s="2" t="s">
        <v>238</v>
      </c>
      <c r="J429" s="3">
        <v>210</v>
      </c>
      <c r="K429" s="5">
        <v>1.25</v>
      </c>
      <c r="L429" s="4">
        <v>82.7</v>
      </c>
      <c r="M429" s="4">
        <v>2975.9</v>
      </c>
      <c r="N429" s="4">
        <v>28.9</v>
      </c>
      <c r="O429" s="4">
        <v>9</v>
      </c>
      <c r="P429" s="4">
        <v>1521.3</v>
      </c>
      <c r="Q429" s="5">
        <v>1.91</v>
      </c>
    </row>
    <row r="430" spans="1:17">
      <c r="A430" s="3">
        <v>428</v>
      </c>
      <c r="B430" s="2" t="s">
        <v>266</v>
      </c>
      <c r="C430" s="2" t="s">
        <v>19</v>
      </c>
      <c r="D430" s="2" t="s">
        <v>247</v>
      </c>
      <c r="E430" s="2" t="s">
        <v>47</v>
      </c>
      <c r="F430" s="4">
        <v>12.5</v>
      </c>
      <c r="G430" s="4">
        <v>2587</v>
      </c>
      <c r="H430" s="2" t="s">
        <v>43</v>
      </c>
      <c r="I430" s="2" t="s">
        <v>238</v>
      </c>
      <c r="J430" s="3">
        <v>250</v>
      </c>
      <c r="K430" s="5">
        <v>1.27</v>
      </c>
      <c r="L430" s="4">
        <v>47.5</v>
      </c>
      <c r="M430" s="4">
        <v>2995.2</v>
      </c>
      <c r="N430" s="4">
        <v>28.7</v>
      </c>
      <c r="O430" s="4">
        <v>15</v>
      </c>
      <c r="P430" s="4">
        <v>1041</v>
      </c>
      <c r="Q430" s="5">
        <v>1.32</v>
      </c>
    </row>
    <row r="431" spans="1:17">
      <c r="A431" s="3">
        <v>429</v>
      </c>
      <c r="B431" s="2" t="s">
        <v>223</v>
      </c>
      <c r="C431" s="2" t="s">
        <v>19</v>
      </c>
      <c r="D431" s="2" t="s">
        <v>162</v>
      </c>
      <c r="E431" s="2" t="s">
        <v>35</v>
      </c>
      <c r="F431" s="4">
        <v>42.4</v>
      </c>
      <c r="G431" s="4">
        <v>3603.2</v>
      </c>
      <c r="H431" s="2" t="s">
        <v>36</v>
      </c>
      <c r="I431" s="2" t="s">
        <v>23</v>
      </c>
      <c r="J431" s="3">
        <v>210</v>
      </c>
      <c r="K431" s="5">
        <v>1.27</v>
      </c>
      <c r="L431" s="4">
        <v>33.4</v>
      </c>
      <c r="M431" s="4">
        <v>3213.5</v>
      </c>
      <c r="N431" s="4">
        <v>26.8</v>
      </c>
      <c r="O431" s="4">
        <v>11.9</v>
      </c>
      <c r="P431" s="4">
        <v>614</v>
      </c>
      <c r="Q431" s="5">
        <v>0.78</v>
      </c>
    </row>
    <row r="432" spans="1:17">
      <c r="A432" s="3">
        <v>430</v>
      </c>
      <c r="B432" s="2" t="s">
        <v>229</v>
      </c>
      <c r="C432" s="2" t="s">
        <v>41</v>
      </c>
      <c r="D432" s="2" t="s">
        <v>58</v>
      </c>
      <c r="E432" s="2" t="s">
        <v>35</v>
      </c>
      <c r="F432" s="4">
        <v>24.2</v>
      </c>
      <c r="G432" s="4">
        <v>3434.2</v>
      </c>
      <c r="H432" s="2" t="s">
        <v>39</v>
      </c>
      <c r="I432" s="2" t="s">
        <v>23</v>
      </c>
      <c r="J432" s="3">
        <v>210</v>
      </c>
      <c r="K432" s="5">
        <v>1.29</v>
      </c>
      <c r="L432" s="4">
        <v>63.2</v>
      </c>
      <c r="M432" s="4">
        <v>3407.6</v>
      </c>
      <c r="N432" s="4">
        <v>25.2</v>
      </c>
      <c r="O432" s="4">
        <v>10.6</v>
      </c>
      <c r="P432" s="4">
        <v>1162</v>
      </c>
      <c r="Q432" s="5">
        <v>1.5</v>
      </c>
    </row>
    <row r="433" spans="1:17">
      <c r="A433" s="3">
        <v>431</v>
      </c>
      <c r="B433" s="2" t="s">
        <v>266</v>
      </c>
      <c r="C433" s="2" t="s">
        <v>24</v>
      </c>
      <c r="D433" s="2" t="s">
        <v>247</v>
      </c>
      <c r="E433" s="2" t="s">
        <v>47</v>
      </c>
      <c r="F433" s="4">
        <v>9.5</v>
      </c>
      <c r="G433" s="4">
        <v>2587</v>
      </c>
      <c r="H433" s="2" t="s">
        <v>43</v>
      </c>
      <c r="I433" s="2" t="s">
        <v>238</v>
      </c>
      <c r="J433" s="3">
        <v>250</v>
      </c>
      <c r="K433" s="5">
        <v>1.3</v>
      </c>
      <c r="L433" s="4">
        <v>28.4</v>
      </c>
      <c r="M433" s="4">
        <v>3054.5</v>
      </c>
      <c r="N433" s="4">
        <v>28.2</v>
      </c>
      <c r="O433" s="4">
        <v>16.8</v>
      </c>
      <c r="P433" s="4">
        <v>622.79999999999995</v>
      </c>
      <c r="Q433" s="5">
        <v>0.81</v>
      </c>
    </row>
    <row r="434" spans="1:17">
      <c r="A434" s="3">
        <v>432</v>
      </c>
      <c r="B434" s="2" t="s">
        <v>267</v>
      </c>
      <c r="C434" s="2" t="s">
        <v>24</v>
      </c>
      <c r="D434" s="2" t="s">
        <v>268</v>
      </c>
      <c r="E434" s="2" t="s">
        <v>21</v>
      </c>
      <c r="F434" s="4">
        <v>5.2</v>
      </c>
      <c r="G434" s="4">
        <v>3120</v>
      </c>
      <c r="H434" s="2" t="s">
        <v>39</v>
      </c>
      <c r="I434" s="2" t="s">
        <v>23</v>
      </c>
      <c r="J434" s="3">
        <v>45</v>
      </c>
      <c r="K434" s="5">
        <v>1.3</v>
      </c>
      <c r="L434" s="4">
        <v>55.4</v>
      </c>
      <c r="M434" s="4">
        <v>3433</v>
      </c>
      <c r="N434" s="4">
        <v>25</v>
      </c>
      <c r="O434" s="4">
        <v>12.3</v>
      </c>
      <c r="P434" s="4">
        <v>218.2</v>
      </c>
      <c r="Q434" s="5">
        <v>0.28000000000000003</v>
      </c>
    </row>
    <row r="435" spans="1:17">
      <c r="A435" s="3">
        <v>433</v>
      </c>
      <c r="B435" s="2" t="s">
        <v>229</v>
      </c>
      <c r="C435" s="2" t="s">
        <v>33</v>
      </c>
      <c r="D435" s="2" t="s">
        <v>58</v>
      </c>
      <c r="E435" s="2" t="s">
        <v>35</v>
      </c>
      <c r="F435" s="4">
        <v>23.6</v>
      </c>
      <c r="G435" s="4">
        <v>3429.2</v>
      </c>
      <c r="H435" s="2" t="s">
        <v>39</v>
      </c>
      <c r="I435" s="2" t="s">
        <v>23</v>
      </c>
      <c r="J435" s="3">
        <v>210</v>
      </c>
      <c r="K435" s="5">
        <v>1.3</v>
      </c>
      <c r="L435" s="4">
        <v>50.8</v>
      </c>
      <c r="M435" s="4">
        <v>3410.8</v>
      </c>
      <c r="N435" s="4">
        <v>25.2</v>
      </c>
      <c r="O435" s="4">
        <v>11.3</v>
      </c>
      <c r="P435" s="4">
        <v>934</v>
      </c>
      <c r="Q435" s="5">
        <v>1.22</v>
      </c>
    </row>
    <row r="436" spans="1:17">
      <c r="A436" s="3">
        <v>434</v>
      </c>
      <c r="B436" s="2" t="s">
        <v>267</v>
      </c>
      <c r="C436" s="2" t="s">
        <v>19</v>
      </c>
      <c r="D436" s="2" t="s">
        <v>268</v>
      </c>
      <c r="E436" s="2" t="s">
        <v>21</v>
      </c>
      <c r="F436" s="4">
        <v>10.7</v>
      </c>
      <c r="G436" s="4">
        <v>2760</v>
      </c>
      <c r="H436" s="2" t="s">
        <v>43</v>
      </c>
      <c r="I436" s="2" t="s">
        <v>23</v>
      </c>
      <c r="J436" s="3">
        <v>45</v>
      </c>
      <c r="K436" s="5">
        <v>1.31</v>
      </c>
      <c r="L436" s="4">
        <v>15.5</v>
      </c>
      <c r="M436" s="4">
        <v>3456.9</v>
      </c>
      <c r="N436" s="4">
        <v>24.9</v>
      </c>
      <c r="O436" s="4">
        <v>12.8</v>
      </c>
      <c r="P436" s="4">
        <v>60.9</v>
      </c>
      <c r="Q436" s="5">
        <v>0.08</v>
      </c>
    </row>
    <row r="437" spans="1:17">
      <c r="A437" s="3">
        <v>435</v>
      </c>
      <c r="B437" s="2" t="s">
        <v>229</v>
      </c>
      <c r="C437" s="2" t="s">
        <v>24</v>
      </c>
      <c r="D437" s="2" t="s">
        <v>58</v>
      </c>
      <c r="E437" s="2" t="s">
        <v>35</v>
      </c>
      <c r="F437" s="4">
        <v>34.6</v>
      </c>
      <c r="G437" s="4">
        <v>3403.5</v>
      </c>
      <c r="H437" s="2" t="s">
        <v>39</v>
      </c>
      <c r="I437" s="2" t="s">
        <v>23</v>
      </c>
      <c r="J437" s="3">
        <v>210</v>
      </c>
      <c r="K437" s="5">
        <v>1.32</v>
      </c>
      <c r="L437" s="4">
        <v>49.1</v>
      </c>
      <c r="M437" s="4">
        <v>3441.2</v>
      </c>
      <c r="N437" s="4">
        <v>25</v>
      </c>
      <c r="O437" s="4">
        <v>10.9</v>
      </c>
      <c r="P437" s="4">
        <v>903</v>
      </c>
      <c r="Q437" s="5">
        <v>1.19</v>
      </c>
    </row>
    <row r="438" spans="1:17">
      <c r="A438" s="3">
        <v>436</v>
      </c>
      <c r="B438" s="2" t="s">
        <v>261</v>
      </c>
      <c r="C438" s="2" t="s">
        <v>19</v>
      </c>
      <c r="D438" s="2" t="s">
        <v>262</v>
      </c>
      <c r="E438" s="2" t="s">
        <v>21</v>
      </c>
      <c r="F438" s="4">
        <v>11.5</v>
      </c>
      <c r="G438" s="4">
        <v>2175.6</v>
      </c>
      <c r="H438" s="2" t="s">
        <v>43</v>
      </c>
      <c r="I438" s="2" t="s">
        <v>23</v>
      </c>
      <c r="J438" s="3">
        <v>50</v>
      </c>
      <c r="K438" s="5">
        <v>1.35</v>
      </c>
      <c r="L438" s="4">
        <v>49.6</v>
      </c>
      <c r="M438" s="4">
        <v>3549.3</v>
      </c>
      <c r="N438" s="4">
        <v>24.2</v>
      </c>
      <c r="O438" s="4">
        <v>16</v>
      </c>
      <c r="P438" s="4">
        <v>217.3</v>
      </c>
      <c r="Q438" s="5">
        <v>0.28999999999999998</v>
      </c>
    </row>
    <row r="439" spans="1:17">
      <c r="A439" s="3">
        <v>437</v>
      </c>
      <c r="B439" s="2" t="s">
        <v>229</v>
      </c>
      <c r="C439" s="2" t="s">
        <v>19</v>
      </c>
      <c r="D439" s="2" t="s">
        <v>58</v>
      </c>
      <c r="E439" s="2" t="s">
        <v>35</v>
      </c>
      <c r="F439" s="4">
        <v>35.4</v>
      </c>
      <c r="G439" s="4">
        <v>3382.5</v>
      </c>
      <c r="H439" s="2" t="s">
        <v>39</v>
      </c>
      <c r="I439" s="2" t="s">
        <v>23</v>
      </c>
      <c r="J439" s="3">
        <v>210</v>
      </c>
      <c r="K439" s="5">
        <v>1.35</v>
      </c>
      <c r="L439" s="4">
        <v>46.2</v>
      </c>
      <c r="M439" s="4">
        <v>3513.8</v>
      </c>
      <c r="N439" s="4">
        <v>24.5</v>
      </c>
      <c r="O439" s="4">
        <v>12.4</v>
      </c>
      <c r="P439" s="4">
        <v>850</v>
      </c>
      <c r="Q439" s="5">
        <v>1.1499999999999999</v>
      </c>
    </row>
    <row r="440" spans="1:17">
      <c r="A440" s="3">
        <v>438</v>
      </c>
      <c r="B440" s="2" t="s">
        <v>269</v>
      </c>
      <c r="C440" s="2" t="s">
        <v>24</v>
      </c>
      <c r="D440" s="2" t="s">
        <v>242</v>
      </c>
      <c r="E440" s="2" t="s">
        <v>21</v>
      </c>
      <c r="F440" s="4">
        <v>10.4</v>
      </c>
      <c r="G440" s="4">
        <v>2095</v>
      </c>
      <c r="H440" s="2" t="s">
        <v>43</v>
      </c>
      <c r="I440" s="2" t="s">
        <v>23</v>
      </c>
      <c r="J440" s="3">
        <v>30</v>
      </c>
      <c r="K440" s="5">
        <v>1.36</v>
      </c>
      <c r="L440" s="4">
        <v>64.3</v>
      </c>
      <c r="M440" s="4">
        <v>3580.5</v>
      </c>
      <c r="N440" s="4">
        <v>24</v>
      </c>
      <c r="O440" s="4">
        <v>13.5</v>
      </c>
      <c r="P440" s="4">
        <v>168.8</v>
      </c>
      <c r="Q440" s="5">
        <v>0.23</v>
      </c>
    </row>
    <row r="441" spans="1:17">
      <c r="A441" s="3">
        <v>439</v>
      </c>
      <c r="B441" s="2" t="s">
        <v>233</v>
      </c>
      <c r="C441" s="2" t="s">
        <v>24</v>
      </c>
      <c r="D441" s="2" t="s">
        <v>234</v>
      </c>
      <c r="E441" s="2" t="s">
        <v>35</v>
      </c>
      <c r="F441" s="4">
        <v>25.8</v>
      </c>
      <c r="G441" s="4">
        <v>4206</v>
      </c>
      <c r="H441" s="2" t="s">
        <v>29</v>
      </c>
      <c r="I441" s="2" t="s">
        <v>23</v>
      </c>
      <c r="J441" s="3">
        <v>210</v>
      </c>
      <c r="K441" s="5">
        <v>1.37</v>
      </c>
      <c r="L441" s="4">
        <v>6.4</v>
      </c>
      <c r="M441" s="4">
        <v>3600.1</v>
      </c>
      <c r="N441" s="4">
        <v>23.9</v>
      </c>
      <c r="O441" s="4">
        <v>18.100000000000001</v>
      </c>
      <c r="P441" s="4">
        <v>118</v>
      </c>
      <c r="Q441" s="5">
        <v>0.16</v>
      </c>
    </row>
    <row r="442" spans="1:17">
      <c r="A442" s="3">
        <v>440</v>
      </c>
      <c r="B442" s="2" t="s">
        <v>270</v>
      </c>
      <c r="C442" s="2" t="s">
        <v>33</v>
      </c>
      <c r="D442" s="2" t="s">
        <v>247</v>
      </c>
      <c r="E442" s="2" t="s">
        <v>47</v>
      </c>
      <c r="F442" s="4">
        <v>33.4</v>
      </c>
      <c r="G442" s="4">
        <v>2556</v>
      </c>
      <c r="H442" s="2" t="s">
        <v>43</v>
      </c>
      <c r="I442" s="2" t="s">
        <v>238</v>
      </c>
      <c r="J442" s="3">
        <v>210</v>
      </c>
      <c r="K442" s="5">
        <v>1.37</v>
      </c>
      <c r="L442" s="4">
        <v>59.6</v>
      </c>
      <c r="M442" s="4">
        <v>3248.8</v>
      </c>
      <c r="N442" s="4">
        <v>26.5</v>
      </c>
      <c r="O442" s="4">
        <v>7.1</v>
      </c>
      <c r="P442" s="4">
        <v>1096.0999999999999</v>
      </c>
      <c r="Q442" s="5">
        <v>1.5</v>
      </c>
    </row>
    <row r="443" spans="1:17">
      <c r="A443" s="3">
        <v>441</v>
      </c>
      <c r="B443" s="2" t="s">
        <v>270</v>
      </c>
      <c r="C443" s="2" t="s">
        <v>78</v>
      </c>
      <c r="D443" s="2" t="s">
        <v>247</v>
      </c>
      <c r="E443" s="2" t="s">
        <v>47</v>
      </c>
      <c r="F443" s="4">
        <v>32.6</v>
      </c>
      <c r="G443" s="4">
        <v>2556</v>
      </c>
      <c r="H443" s="2" t="s">
        <v>43</v>
      </c>
      <c r="I443" s="2" t="s">
        <v>238</v>
      </c>
      <c r="J443" s="3">
        <v>210</v>
      </c>
      <c r="K443" s="5">
        <v>1.42</v>
      </c>
      <c r="L443" s="4">
        <v>56.2</v>
      </c>
      <c r="M443" s="4">
        <v>3373.1</v>
      </c>
      <c r="N443" s="4">
        <v>25.5</v>
      </c>
      <c r="O443" s="4">
        <v>10.7</v>
      </c>
      <c r="P443" s="4">
        <v>1033</v>
      </c>
      <c r="Q443" s="5">
        <v>1.47</v>
      </c>
    </row>
    <row r="444" spans="1:17">
      <c r="A444" s="3">
        <v>442</v>
      </c>
      <c r="B444" s="2" t="s">
        <v>270</v>
      </c>
      <c r="C444" s="2" t="s">
        <v>41</v>
      </c>
      <c r="D444" s="2" t="s">
        <v>247</v>
      </c>
      <c r="E444" s="2" t="s">
        <v>47</v>
      </c>
      <c r="F444" s="4">
        <v>38.4</v>
      </c>
      <c r="G444" s="4">
        <v>2556</v>
      </c>
      <c r="H444" s="2" t="s">
        <v>43</v>
      </c>
      <c r="I444" s="2" t="s">
        <v>238</v>
      </c>
      <c r="J444" s="3">
        <v>210</v>
      </c>
      <c r="K444" s="5">
        <v>1.44</v>
      </c>
      <c r="L444" s="4">
        <v>57.7</v>
      </c>
      <c r="M444" s="4">
        <v>3418.6</v>
      </c>
      <c r="N444" s="4">
        <v>25.2</v>
      </c>
      <c r="O444" s="4">
        <v>11.8</v>
      </c>
      <c r="P444" s="4">
        <v>1060.7</v>
      </c>
      <c r="Q444" s="5">
        <v>1.53</v>
      </c>
    </row>
    <row r="445" spans="1:17">
      <c r="A445" s="3">
        <v>443</v>
      </c>
      <c r="B445" s="2" t="s">
        <v>270</v>
      </c>
      <c r="C445" s="2" t="s">
        <v>45</v>
      </c>
      <c r="D445" s="2" t="s">
        <v>247</v>
      </c>
      <c r="E445" s="2" t="s">
        <v>47</v>
      </c>
      <c r="F445" s="4">
        <v>31.1</v>
      </c>
      <c r="G445" s="4">
        <v>2556</v>
      </c>
      <c r="H445" s="2" t="s">
        <v>43</v>
      </c>
      <c r="I445" s="2" t="s">
        <v>238</v>
      </c>
      <c r="J445" s="3">
        <v>210</v>
      </c>
      <c r="K445" s="5">
        <v>1.45</v>
      </c>
      <c r="L445" s="4">
        <v>61.6</v>
      </c>
      <c r="M445" s="4">
        <v>3436.5</v>
      </c>
      <c r="N445" s="4">
        <v>25</v>
      </c>
      <c r="O445" s="4">
        <v>10.7</v>
      </c>
      <c r="P445" s="4">
        <v>1133.5</v>
      </c>
      <c r="Q445" s="5">
        <v>1.64</v>
      </c>
    </row>
    <row r="446" spans="1:17">
      <c r="A446" s="3">
        <v>444</v>
      </c>
      <c r="B446" s="2" t="s">
        <v>270</v>
      </c>
      <c r="C446" s="2" t="s">
        <v>19</v>
      </c>
      <c r="D446" s="2" t="s">
        <v>247</v>
      </c>
      <c r="E446" s="2" t="s">
        <v>47</v>
      </c>
      <c r="F446" s="4">
        <v>36.6</v>
      </c>
      <c r="G446" s="4">
        <v>2556</v>
      </c>
      <c r="H446" s="2" t="s">
        <v>43</v>
      </c>
      <c r="I446" s="2" t="s">
        <v>238</v>
      </c>
      <c r="J446" s="3">
        <v>210</v>
      </c>
      <c r="K446" s="5">
        <v>1.45</v>
      </c>
      <c r="L446" s="4">
        <v>52.1</v>
      </c>
      <c r="M446" s="4">
        <v>3435.4</v>
      </c>
      <c r="N446" s="4">
        <v>25</v>
      </c>
      <c r="O446" s="4">
        <v>11.7</v>
      </c>
      <c r="P446" s="4">
        <v>958.4</v>
      </c>
      <c r="Q446" s="5">
        <v>1.39</v>
      </c>
    </row>
    <row r="447" spans="1:17">
      <c r="A447" s="3">
        <v>445</v>
      </c>
      <c r="B447" s="2" t="s">
        <v>270</v>
      </c>
      <c r="C447" s="2" t="s">
        <v>51</v>
      </c>
      <c r="D447" s="2" t="s">
        <v>247</v>
      </c>
      <c r="E447" s="2" t="s">
        <v>47</v>
      </c>
      <c r="F447" s="4">
        <v>31.8</v>
      </c>
      <c r="G447" s="4">
        <v>2556</v>
      </c>
      <c r="H447" s="2" t="s">
        <v>43</v>
      </c>
      <c r="I447" s="2" t="s">
        <v>238</v>
      </c>
      <c r="J447" s="3">
        <v>210</v>
      </c>
      <c r="K447" s="5">
        <v>1.45</v>
      </c>
      <c r="L447" s="4">
        <v>55.6</v>
      </c>
      <c r="M447" s="4">
        <v>3443.1</v>
      </c>
      <c r="N447" s="4">
        <v>25</v>
      </c>
      <c r="O447" s="4">
        <v>12.3</v>
      </c>
      <c r="P447" s="4">
        <v>1023.4</v>
      </c>
      <c r="Q447" s="5">
        <v>1.49</v>
      </c>
    </row>
    <row r="448" spans="1:17">
      <c r="A448" s="3">
        <v>446</v>
      </c>
      <c r="B448" s="2" t="s">
        <v>270</v>
      </c>
      <c r="C448" s="2" t="s">
        <v>24</v>
      </c>
      <c r="D448" s="2" t="s">
        <v>247</v>
      </c>
      <c r="E448" s="2" t="s">
        <v>47</v>
      </c>
      <c r="F448" s="4">
        <v>37.5</v>
      </c>
      <c r="G448" s="4">
        <v>2556</v>
      </c>
      <c r="H448" s="2" t="s">
        <v>43</v>
      </c>
      <c r="I448" s="2" t="s">
        <v>238</v>
      </c>
      <c r="J448" s="3">
        <v>210</v>
      </c>
      <c r="K448" s="5">
        <v>1.45</v>
      </c>
      <c r="L448" s="4">
        <v>45.5</v>
      </c>
      <c r="M448" s="4">
        <v>3442.5</v>
      </c>
      <c r="N448" s="4">
        <v>25</v>
      </c>
      <c r="O448" s="4">
        <v>11.1</v>
      </c>
      <c r="P448" s="4">
        <v>836.6</v>
      </c>
      <c r="Q448" s="5">
        <v>1.22</v>
      </c>
    </row>
    <row r="449" spans="1:17">
      <c r="A449" s="3">
        <v>447</v>
      </c>
      <c r="B449" s="2" t="s">
        <v>271</v>
      </c>
      <c r="C449" s="2" t="s">
        <v>19</v>
      </c>
      <c r="D449" s="2" t="s">
        <v>272</v>
      </c>
      <c r="E449" s="2" t="s">
        <v>35</v>
      </c>
      <c r="F449" s="4">
        <v>19.399999999999999</v>
      </c>
      <c r="G449" s="4">
        <v>3293.7</v>
      </c>
      <c r="H449" s="2" t="s">
        <v>39</v>
      </c>
      <c r="I449" s="2" t="s">
        <v>238</v>
      </c>
      <c r="J449" s="3">
        <v>125</v>
      </c>
      <c r="K449" s="5">
        <v>1.51</v>
      </c>
      <c r="L449" s="4">
        <v>30</v>
      </c>
      <c r="M449" s="4">
        <v>3589.1</v>
      </c>
      <c r="N449" s="4">
        <v>24</v>
      </c>
      <c r="O449" s="4">
        <v>19.8</v>
      </c>
      <c r="P449" s="4">
        <v>328</v>
      </c>
      <c r="Q449" s="5">
        <v>0.5</v>
      </c>
    </row>
    <row r="450" spans="1:17">
      <c r="A450" s="3">
        <v>448</v>
      </c>
      <c r="B450" s="2" t="s">
        <v>271</v>
      </c>
      <c r="C450" s="2" t="s">
        <v>24</v>
      </c>
      <c r="D450" s="2" t="s">
        <v>272</v>
      </c>
      <c r="E450" s="2" t="s">
        <v>35</v>
      </c>
      <c r="F450" s="4">
        <v>18.600000000000001</v>
      </c>
      <c r="G450" s="4">
        <v>3264.1</v>
      </c>
      <c r="H450" s="2" t="s">
        <v>39</v>
      </c>
      <c r="I450" s="2" t="s">
        <v>238</v>
      </c>
      <c r="J450" s="3">
        <v>125</v>
      </c>
      <c r="K450" s="5">
        <v>1.56</v>
      </c>
      <c r="L450" s="4">
        <v>30.1</v>
      </c>
      <c r="M450" s="4">
        <v>3700.6</v>
      </c>
      <c r="N450" s="4">
        <v>23.2</v>
      </c>
      <c r="O450" s="4">
        <v>20</v>
      </c>
      <c r="P450" s="4">
        <v>330</v>
      </c>
      <c r="Q450" s="5">
        <v>0.52</v>
      </c>
    </row>
    <row r="451" spans="1:17">
      <c r="A451" s="3">
        <v>449</v>
      </c>
      <c r="B451" s="2" t="s">
        <v>201</v>
      </c>
      <c r="C451" s="2" t="s">
        <v>19</v>
      </c>
      <c r="D451" s="2" t="s">
        <v>202</v>
      </c>
      <c r="E451" s="2" t="s">
        <v>21</v>
      </c>
      <c r="F451" s="4">
        <v>9.1999999999999993</v>
      </c>
      <c r="G451" s="4">
        <v>3533</v>
      </c>
      <c r="H451" s="2" t="s">
        <v>36</v>
      </c>
      <c r="I451" s="2" t="s">
        <v>23</v>
      </c>
      <c r="J451" s="3">
        <v>300</v>
      </c>
      <c r="K451" s="5">
        <v>1.57</v>
      </c>
      <c r="L451" s="4">
        <v>60.5</v>
      </c>
      <c r="M451" s="4">
        <v>4162.8999999999996</v>
      </c>
      <c r="N451" s="4">
        <v>20.7</v>
      </c>
      <c r="O451" s="4">
        <v>8.4</v>
      </c>
      <c r="P451" s="4">
        <v>1590.4</v>
      </c>
      <c r="Q451" s="5">
        <v>2.5</v>
      </c>
    </row>
    <row r="452" spans="1:17">
      <c r="A452" s="3">
        <v>450</v>
      </c>
      <c r="B452" s="2" t="s">
        <v>273</v>
      </c>
      <c r="C452" s="2" t="s">
        <v>19</v>
      </c>
      <c r="D452" s="2" t="s">
        <v>274</v>
      </c>
      <c r="E452" s="2" t="s">
        <v>35</v>
      </c>
      <c r="F452" s="4">
        <v>8.1999999999999993</v>
      </c>
      <c r="G452" s="4">
        <v>2773</v>
      </c>
      <c r="H452" s="2" t="s">
        <v>43</v>
      </c>
      <c r="I452" s="2" t="s">
        <v>238</v>
      </c>
      <c r="J452" s="3">
        <v>250</v>
      </c>
      <c r="K452" s="5">
        <v>1.58</v>
      </c>
      <c r="L452" s="4">
        <v>27.7</v>
      </c>
      <c r="M452" s="4">
        <v>3723.2</v>
      </c>
      <c r="N452" s="4">
        <v>23.1</v>
      </c>
      <c r="O452" s="4">
        <v>20.9</v>
      </c>
      <c r="P452" s="4">
        <v>607</v>
      </c>
      <c r="Q452" s="5">
        <v>0.96</v>
      </c>
    </row>
    <row r="453" spans="1:17">
      <c r="A453" s="3">
        <v>451</v>
      </c>
      <c r="B453" s="2" t="s">
        <v>275</v>
      </c>
      <c r="C453" s="2" t="s">
        <v>24</v>
      </c>
      <c r="D453" s="2" t="s">
        <v>116</v>
      </c>
      <c r="E453" s="2" t="s">
        <v>47</v>
      </c>
      <c r="F453" s="4">
        <v>42.7</v>
      </c>
      <c r="G453" s="4">
        <v>2865</v>
      </c>
      <c r="H453" s="2" t="s">
        <v>43</v>
      </c>
      <c r="I453" s="2" t="s">
        <v>23</v>
      </c>
      <c r="J453" s="3">
        <v>210</v>
      </c>
      <c r="K453" s="5">
        <v>1.58</v>
      </c>
      <c r="L453" s="4">
        <v>5.9</v>
      </c>
      <c r="M453" s="4">
        <v>4145.3</v>
      </c>
      <c r="N453" s="4">
        <v>20.7</v>
      </c>
      <c r="O453" s="4">
        <v>19</v>
      </c>
      <c r="P453" s="4">
        <v>109.4</v>
      </c>
      <c r="Q453" s="5">
        <v>0.17</v>
      </c>
    </row>
    <row r="454" spans="1:17">
      <c r="A454" s="3">
        <v>452</v>
      </c>
      <c r="B454" s="2" t="s">
        <v>273</v>
      </c>
      <c r="C454" s="2" t="s">
        <v>24</v>
      </c>
      <c r="D454" s="2" t="s">
        <v>274</v>
      </c>
      <c r="E454" s="2" t="s">
        <v>35</v>
      </c>
      <c r="F454" s="4">
        <v>7.4</v>
      </c>
      <c r="G454" s="4">
        <v>2758</v>
      </c>
      <c r="H454" s="2" t="s">
        <v>43</v>
      </c>
      <c r="I454" s="2" t="s">
        <v>238</v>
      </c>
      <c r="J454" s="3">
        <v>250</v>
      </c>
      <c r="K454" s="5">
        <v>1.59</v>
      </c>
      <c r="L454" s="4">
        <v>20.7</v>
      </c>
      <c r="M454" s="4">
        <v>3756.5</v>
      </c>
      <c r="N454" s="4">
        <v>22.9</v>
      </c>
      <c r="O454" s="4">
        <v>20.9</v>
      </c>
      <c r="P454" s="4">
        <v>453</v>
      </c>
      <c r="Q454" s="5">
        <v>0.72</v>
      </c>
    </row>
    <row r="455" spans="1:17">
      <c r="A455" s="3">
        <v>453</v>
      </c>
      <c r="B455" s="2" t="s">
        <v>239</v>
      </c>
      <c r="C455" s="2" t="s">
        <v>41</v>
      </c>
      <c r="D455" s="2" t="s">
        <v>58</v>
      </c>
      <c r="E455" s="2" t="s">
        <v>35</v>
      </c>
      <c r="F455" s="4">
        <v>42.3</v>
      </c>
      <c r="G455" s="4">
        <v>3506.3</v>
      </c>
      <c r="H455" s="2" t="s">
        <v>36</v>
      </c>
      <c r="I455" s="2" t="s">
        <v>23</v>
      </c>
      <c r="J455" s="3">
        <v>210</v>
      </c>
      <c r="K455" s="5">
        <v>1.66</v>
      </c>
      <c r="L455" s="4">
        <v>32.9</v>
      </c>
      <c r="M455" s="4">
        <v>4351.1000000000004</v>
      </c>
      <c r="N455" s="4">
        <v>19.8</v>
      </c>
      <c r="O455" s="4">
        <v>15.4</v>
      </c>
      <c r="P455" s="4">
        <v>606</v>
      </c>
      <c r="Q455" s="5">
        <v>1</v>
      </c>
    </row>
    <row r="456" spans="1:17">
      <c r="A456" s="3">
        <v>454</v>
      </c>
      <c r="B456" s="2" t="s">
        <v>276</v>
      </c>
      <c r="C456" s="2" t="s">
        <v>41</v>
      </c>
      <c r="D456" s="2" t="s">
        <v>162</v>
      </c>
      <c r="E456" s="2" t="s">
        <v>35</v>
      </c>
      <c r="F456" s="4">
        <v>27.3</v>
      </c>
      <c r="G456" s="4">
        <v>2247</v>
      </c>
      <c r="H456" s="2" t="s">
        <v>43</v>
      </c>
      <c r="I456" s="2" t="s">
        <v>238</v>
      </c>
      <c r="J456" s="3">
        <v>75</v>
      </c>
      <c r="K456" s="5">
        <v>1.75</v>
      </c>
      <c r="L456" s="4">
        <v>47</v>
      </c>
      <c r="M456" s="4">
        <v>4035.9</v>
      </c>
      <c r="N456" s="4">
        <v>21.3</v>
      </c>
      <c r="O456" s="4">
        <v>14.2</v>
      </c>
      <c r="P456" s="4">
        <v>309</v>
      </c>
      <c r="Q456" s="5">
        <v>0.54</v>
      </c>
    </row>
    <row r="457" spans="1:17">
      <c r="A457" s="3">
        <v>455</v>
      </c>
      <c r="B457" s="2" t="s">
        <v>276</v>
      </c>
      <c r="C457" s="2" t="s">
        <v>33</v>
      </c>
      <c r="D457" s="2" t="s">
        <v>162</v>
      </c>
      <c r="E457" s="2" t="s">
        <v>35</v>
      </c>
      <c r="F457" s="4">
        <v>14.6</v>
      </c>
      <c r="G457" s="4">
        <v>2303</v>
      </c>
      <c r="H457" s="2" t="s">
        <v>43</v>
      </c>
      <c r="I457" s="2" t="s">
        <v>238</v>
      </c>
      <c r="J457" s="3">
        <v>75</v>
      </c>
      <c r="K457" s="5">
        <v>2</v>
      </c>
      <c r="L457" s="4">
        <v>34.9</v>
      </c>
      <c r="M457" s="4">
        <v>4696.5</v>
      </c>
      <c r="N457" s="4">
        <v>18.3</v>
      </c>
      <c r="O457" s="4">
        <v>23.7</v>
      </c>
      <c r="P457" s="4">
        <v>229</v>
      </c>
      <c r="Q457" s="5">
        <v>0.46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6D51-F060-6F45-A613-44933939276C}">
  <dimension ref="A1:W460"/>
  <sheetViews>
    <sheetView tabSelected="1" topLeftCell="C1" workbookViewId="0">
      <pane ySplit="1" topLeftCell="A2" activePane="bottomLeft" state="frozen"/>
      <selection pane="bottomLeft" activeCell="W9" sqref="W9"/>
    </sheetView>
  </sheetViews>
  <sheetFormatPr baseColWidth="10" defaultRowHeight="14"/>
  <cols>
    <col min="1" max="1" width="6.6640625" bestFit="1" customWidth="1"/>
    <col min="2" max="2" width="31.5" bestFit="1" customWidth="1"/>
    <col min="3" max="11" width="10.83203125" customWidth="1"/>
    <col min="18" max="18" width="17.5" bestFit="1" customWidth="1"/>
  </cols>
  <sheetData>
    <row r="1" spans="1:23" ht="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23" ht="15">
      <c r="A2" s="3">
        <v>382</v>
      </c>
      <c r="B2" s="2" t="s">
        <v>179</v>
      </c>
      <c r="C2" s="2" t="s">
        <v>19</v>
      </c>
      <c r="D2" s="2" t="s">
        <v>180</v>
      </c>
      <c r="E2" s="2" t="s">
        <v>21</v>
      </c>
      <c r="F2" s="4">
        <v>9.6999999999999993</v>
      </c>
      <c r="G2" s="4">
        <v>4158</v>
      </c>
      <c r="H2" s="2" t="s">
        <v>29</v>
      </c>
      <c r="I2" s="2" t="s">
        <v>23</v>
      </c>
      <c r="J2" s="3">
        <v>600</v>
      </c>
      <c r="K2" s="5">
        <v>1.18</v>
      </c>
      <c r="L2" s="4">
        <v>2.2999999999999998</v>
      </c>
      <c r="M2" s="4">
        <v>3263.9</v>
      </c>
      <c r="N2" s="4">
        <v>26.3</v>
      </c>
      <c r="O2" s="4">
        <v>18.399999999999999</v>
      </c>
      <c r="P2" s="4">
        <v>122.6</v>
      </c>
      <c r="Q2" s="5">
        <v>0.14000000000000001</v>
      </c>
      <c r="R2" s="9" t="s">
        <v>287</v>
      </c>
    </row>
    <row r="3" spans="1:23">
      <c r="A3" s="3">
        <v>146</v>
      </c>
      <c r="B3" s="2" t="s">
        <v>140</v>
      </c>
      <c r="C3" s="2" t="s">
        <v>41</v>
      </c>
      <c r="D3" s="2" t="s">
        <v>135</v>
      </c>
      <c r="E3" s="2" t="s">
        <v>35</v>
      </c>
      <c r="F3" s="4">
        <v>41.3</v>
      </c>
      <c r="G3" s="4">
        <v>3484.5</v>
      </c>
      <c r="H3" s="2" t="s">
        <v>39</v>
      </c>
      <c r="I3" s="2" t="s">
        <v>23</v>
      </c>
      <c r="J3" s="3">
        <v>105</v>
      </c>
      <c r="K3" s="5">
        <v>0.98</v>
      </c>
      <c r="L3" s="4">
        <v>4.3</v>
      </c>
      <c r="M3" s="4">
        <v>2583.1</v>
      </c>
      <c r="N3" s="4">
        <v>33.299999999999997</v>
      </c>
      <c r="O3" s="4">
        <v>9.6</v>
      </c>
      <c r="P3" s="4">
        <v>39.700000000000003</v>
      </c>
      <c r="Q3" s="5">
        <v>0.04</v>
      </c>
      <c r="R3" t="s">
        <v>286</v>
      </c>
      <c r="S3">
        <f>CORREL(N2:N456,L2:L456)</f>
        <v>0.47488578069687082</v>
      </c>
      <c r="T3">
        <f>S3^2</f>
        <v>0.22551650470807649</v>
      </c>
    </row>
    <row r="4" spans="1:23">
      <c r="A4" s="3">
        <v>451</v>
      </c>
      <c r="B4" s="2" t="s">
        <v>275</v>
      </c>
      <c r="C4" s="2" t="s">
        <v>24</v>
      </c>
      <c r="D4" s="2" t="s">
        <v>116</v>
      </c>
      <c r="E4" s="2" t="s">
        <v>47</v>
      </c>
      <c r="F4" s="4">
        <v>42.7</v>
      </c>
      <c r="G4" s="4">
        <v>2865</v>
      </c>
      <c r="H4" s="2" t="s">
        <v>43</v>
      </c>
      <c r="I4" s="2" t="s">
        <v>23</v>
      </c>
      <c r="J4" s="3">
        <v>210</v>
      </c>
      <c r="K4" s="5">
        <v>1.58</v>
      </c>
      <c r="L4" s="4">
        <v>5.9</v>
      </c>
      <c r="M4" s="4">
        <v>4145.3</v>
      </c>
      <c r="N4" s="4">
        <v>20.7</v>
      </c>
      <c r="O4" s="4">
        <v>19</v>
      </c>
      <c r="P4" s="4">
        <v>109.4</v>
      </c>
      <c r="Q4" s="5">
        <v>0.17</v>
      </c>
    </row>
    <row r="5" spans="1:23">
      <c r="A5" s="3">
        <v>439</v>
      </c>
      <c r="B5" s="2" t="s">
        <v>233</v>
      </c>
      <c r="C5" s="2" t="s">
        <v>24</v>
      </c>
      <c r="D5" s="2" t="s">
        <v>234</v>
      </c>
      <c r="E5" s="2" t="s">
        <v>35</v>
      </c>
      <c r="F5" s="4">
        <v>25.8</v>
      </c>
      <c r="G5" s="4">
        <v>4206</v>
      </c>
      <c r="H5" s="2" t="s">
        <v>29</v>
      </c>
      <c r="I5" s="2" t="s">
        <v>23</v>
      </c>
      <c r="J5" s="3">
        <v>210</v>
      </c>
      <c r="K5" s="5">
        <v>1.37</v>
      </c>
      <c r="L5" s="4">
        <v>6.4</v>
      </c>
      <c r="M5" s="4">
        <v>3600.1</v>
      </c>
      <c r="N5" s="4">
        <v>23.9</v>
      </c>
      <c r="O5" s="4">
        <v>18.100000000000001</v>
      </c>
      <c r="P5" s="4">
        <v>118</v>
      </c>
      <c r="Q5" s="5">
        <v>0.16</v>
      </c>
      <c r="R5" t="s">
        <v>285</v>
      </c>
      <c r="S5">
        <f>RSQ(L2:L456,N2:N456)</f>
        <v>0.22551650470807638</v>
      </c>
    </row>
    <row r="6" spans="1:23">
      <c r="A6" s="3">
        <v>4</v>
      </c>
      <c r="B6" s="2" t="s">
        <v>27</v>
      </c>
      <c r="C6" s="2" t="s">
        <v>24</v>
      </c>
      <c r="D6" s="2" t="s">
        <v>28</v>
      </c>
      <c r="E6" s="2" t="s">
        <v>21</v>
      </c>
      <c r="F6" s="4">
        <v>14.4</v>
      </c>
      <c r="G6" s="4">
        <v>4089</v>
      </c>
      <c r="H6" s="2" t="s">
        <v>29</v>
      </c>
      <c r="I6" s="2" t="s">
        <v>23</v>
      </c>
      <c r="J6" s="3">
        <v>330</v>
      </c>
      <c r="K6" s="5">
        <v>0.87</v>
      </c>
      <c r="L6" s="4">
        <v>10.3</v>
      </c>
      <c r="M6" s="4">
        <v>2427.4</v>
      </c>
      <c r="N6" s="4">
        <v>35.4</v>
      </c>
      <c r="O6" s="4">
        <v>8.5</v>
      </c>
      <c r="P6" s="4">
        <v>298.39999999999998</v>
      </c>
      <c r="Q6" s="5">
        <v>0.26</v>
      </c>
      <c r="W6">
        <f>16/70*160</f>
        <v>36.571428571428569</v>
      </c>
    </row>
    <row r="7" spans="1:23" ht="15">
      <c r="A7" s="3">
        <v>83</v>
      </c>
      <c r="B7" s="2" t="s">
        <v>108</v>
      </c>
      <c r="C7" s="2" t="s">
        <v>24</v>
      </c>
      <c r="D7" s="2" t="s">
        <v>70</v>
      </c>
      <c r="E7" s="2" t="s">
        <v>21</v>
      </c>
      <c r="F7" s="4">
        <v>8.3000000000000007</v>
      </c>
      <c r="G7" s="4">
        <v>3965</v>
      </c>
      <c r="H7" s="2" t="s">
        <v>36</v>
      </c>
      <c r="I7" s="2" t="s">
        <v>23</v>
      </c>
      <c r="J7" s="3">
        <v>600</v>
      </c>
      <c r="K7" s="5">
        <v>0.96</v>
      </c>
      <c r="L7" s="4">
        <v>10.8</v>
      </c>
      <c r="M7" s="4">
        <v>2691.6</v>
      </c>
      <c r="N7" s="4">
        <v>31.9</v>
      </c>
      <c r="O7" s="4">
        <v>10.1</v>
      </c>
      <c r="P7" s="4">
        <v>567.5</v>
      </c>
      <c r="Q7" s="5">
        <v>0.55000000000000004</v>
      </c>
      <c r="R7" s="9" t="s">
        <v>288</v>
      </c>
    </row>
    <row r="8" spans="1:23">
      <c r="A8" s="3">
        <v>296</v>
      </c>
      <c r="B8" s="2" t="s">
        <v>214</v>
      </c>
      <c r="C8" s="2" t="s">
        <v>19</v>
      </c>
      <c r="D8" s="2" t="s">
        <v>215</v>
      </c>
      <c r="E8" s="2" t="s">
        <v>35</v>
      </c>
      <c r="F8" s="4">
        <v>39.4</v>
      </c>
      <c r="G8" s="4">
        <v>3213</v>
      </c>
      <c r="H8" s="2" t="s">
        <v>39</v>
      </c>
      <c r="I8" s="2" t="s">
        <v>23</v>
      </c>
      <c r="J8" s="3">
        <v>210</v>
      </c>
      <c r="K8" s="5">
        <v>1.07</v>
      </c>
      <c r="L8" s="4">
        <v>11.4</v>
      </c>
      <c r="M8" s="4">
        <v>2815.6</v>
      </c>
      <c r="N8" s="4">
        <v>30.5</v>
      </c>
      <c r="O8" s="4">
        <v>11.3</v>
      </c>
      <c r="P8" s="4">
        <v>209.8</v>
      </c>
      <c r="Q8" s="5">
        <v>0.23</v>
      </c>
      <c r="W8">
        <f>36/160*70</f>
        <v>15.75</v>
      </c>
    </row>
    <row r="9" spans="1:23">
      <c r="A9" s="3">
        <v>35</v>
      </c>
      <c r="B9" s="2" t="s">
        <v>72</v>
      </c>
      <c r="C9" s="2" t="s">
        <v>24</v>
      </c>
      <c r="D9" s="2" t="s">
        <v>73</v>
      </c>
      <c r="E9" s="2" t="s">
        <v>21</v>
      </c>
      <c r="F9" s="4">
        <v>13.3</v>
      </c>
      <c r="G9" s="4">
        <v>5142</v>
      </c>
      <c r="H9" s="2" t="s">
        <v>22</v>
      </c>
      <c r="I9" s="2" t="s">
        <v>23</v>
      </c>
      <c r="J9" s="3">
        <v>600</v>
      </c>
      <c r="K9" s="5">
        <v>0.94</v>
      </c>
      <c r="L9" s="4">
        <v>11.6</v>
      </c>
      <c r="M9" s="4">
        <v>2628.4</v>
      </c>
      <c r="N9" s="4">
        <v>32.700000000000003</v>
      </c>
      <c r="O9" s="4">
        <v>10</v>
      </c>
      <c r="P9" s="4">
        <v>611.70000000000005</v>
      </c>
      <c r="Q9" s="5">
        <v>0.56999999999999995</v>
      </c>
      <c r="R9" t="s">
        <v>286</v>
      </c>
      <c r="S9">
        <f>CORREL(J2:J456,L2:L456)</f>
        <v>0.1504936456895338</v>
      </c>
    </row>
    <row r="10" spans="1:23">
      <c r="A10" s="3">
        <v>5</v>
      </c>
      <c r="B10" s="2" t="s">
        <v>27</v>
      </c>
      <c r="C10" s="2" t="s">
        <v>19</v>
      </c>
      <c r="D10" s="2" t="s">
        <v>28</v>
      </c>
      <c r="E10" s="2" t="s">
        <v>21</v>
      </c>
      <c r="F10" s="4">
        <v>15</v>
      </c>
      <c r="G10" s="4">
        <v>4089</v>
      </c>
      <c r="H10" s="2" t="s">
        <v>29</v>
      </c>
      <c r="I10" s="2" t="s">
        <v>23</v>
      </c>
      <c r="J10" s="3">
        <v>330</v>
      </c>
      <c r="K10" s="5">
        <v>0.87</v>
      </c>
      <c r="L10" s="4">
        <v>12.5</v>
      </c>
      <c r="M10" s="4">
        <v>2426.6</v>
      </c>
      <c r="N10" s="4">
        <v>35.4</v>
      </c>
      <c r="O10" s="4">
        <v>8.5</v>
      </c>
      <c r="P10" s="4">
        <v>361</v>
      </c>
      <c r="Q10" s="5">
        <v>0.31</v>
      </c>
    </row>
    <row r="11" spans="1:23">
      <c r="A11" s="3">
        <v>37</v>
      </c>
      <c r="B11" s="2" t="s">
        <v>72</v>
      </c>
      <c r="C11" s="2" t="s">
        <v>19</v>
      </c>
      <c r="D11" s="2" t="s">
        <v>73</v>
      </c>
      <c r="E11" s="2" t="s">
        <v>21</v>
      </c>
      <c r="F11" s="4">
        <v>14</v>
      </c>
      <c r="G11" s="4">
        <v>5131</v>
      </c>
      <c r="H11" s="2" t="s">
        <v>22</v>
      </c>
      <c r="I11" s="2" t="s">
        <v>23</v>
      </c>
      <c r="J11" s="3">
        <v>600</v>
      </c>
      <c r="K11" s="5">
        <v>0.94</v>
      </c>
      <c r="L11" s="4">
        <v>12.5</v>
      </c>
      <c r="M11" s="4">
        <v>2633.5</v>
      </c>
      <c r="N11" s="4">
        <v>32.6</v>
      </c>
      <c r="O11" s="4">
        <v>10.1</v>
      </c>
      <c r="P11" s="4">
        <v>657.8</v>
      </c>
      <c r="Q11" s="5">
        <v>0.62</v>
      </c>
      <c r="R11" t="s">
        <v>289</v>
      </c>
    </row>
    <row r="12" spans="1:23" ht="15">
      <c r="A12" s="3">
        <v>340</v>
      </c>
      <c r="B12" s="2" t="s">
        <v>197</v>
      </c>
      <c r="C12" s="2" t="s">
        <v>19</v>
      </c>
      <c r="D12" s="2" t="s">
        <v>198</v>
      </c>
      <c r="E12" s="2" t="s">
        <v>21</v>
      </c>
      <c r="F12" s="4">
        <v>6.4</v>
      </c>
      <c r="G12" s="4">
        <v>3199</v>
      </c>
      <c r="H12" s="2" t="s">
        <v>39</v>
      </c>
      <c r="I12" s="2" t="s">
        <v>23</v>
      </c>
      <c r="J12" s="3">
        <v>300</v>
      </c>
      <c r="K12" s="5">
        <v>1.1100000000000001</v>
      </c>
      <c r="L12" s="4">
        <v>13.7</v>
      </c>
      <c r="M12" s="4">
        <v>2915.2</v>
      </c>
      <c r="N12" s="4">
        <v>29.5</v>
      </c>
      <c r="O12" s="4">
        <v>12.6</v>
      </c>
      <c r="P12" s="4">
        <v>360.5</v>
      </c>
      <c r="Q12" s="5">
        <v>0.4</v>
      </c>
      <c r="R12" s="9" t="s">
        <v>287</v>
      </c>
    </row>
    <row r="13" spans="1:23">
      <c r="A13" s="3">
        <v>24</v>
      </c>
      <c r="B13" s="2" t="s">
        <v>59</v>
      </c>
      <c r="C13" s="2" t="s">
        <v>19</v>
      </c>
      <c r="D13" s="2" t="s">
        <v>60</v>
      </c>
      <c r="E13" s="2" t="s">
        <v>21</v>
      </c>
      <c r="F13" s="4">
        <v>12.5</v>
      </c>
      <c r="G13" s="4">
        <v>5291</v>
      </c>
      <c r="H13" s="2" t="s">
        <v>22</v>
      </c>
      <c r="I13" s="2" t="s">
        <v>23</v>
      </c>
      <c r="J13" s="3">
        <v>600</v>
      </c>
      <c r="K13" s="5">
        <v>0.93</v>
      </c>
      <c r="L13" s="4">
        <v>15.4</v>
      </c>
      <c r="M13" s="4">
        <v>2603.3000000000002</v>
      </c>
      <c r="N13" s="4">
        <v>33</v>
      </c>
      <c r="O13" s="4">
        <v>7</v>
      </c>
      <c r="P13" s="4">
        <v>807.2</v>
      </c>
      <c r="Q13" s="5">
        <v>0.75</v>
      </c>
      <c r="R13" t="s">
        <v>286</v>
      </c>
      <c r="S13">
        <f>CORREL(N19:N456,L19:L456)</f>
        <v>0.55235554564533429</v>
      </c>
      <c r="T13">
        <f>S13^2</f>
        <v>0.30509664880515497</v>
      </c>
    </row>
    <row r="14" spans="1:23">
      <c r="A14" s="3">
        <v>434</v>
      </c>
      <c r="B14" s="2" t="s">
        <v>267</v>
      </c>
      <c r="C14" s="2" t="s">
        <v>19</v>
      </c>
      <c r="D14" s="2" t="s">
        <v>268</v>
      </c>
      <c r="E14" s="2" t="s">
        <v>21</v>
      </c>
      <c r="F14" s="4">
        <v>10.7</v>
      </c>
      <c r="G14" s="4">
        <v>2760</v>
      </c>
      <c r="H14" s="2" t="s">
        <v>43</v>
      </c>
      <c r="I14" s="2" t="s">
        <v>23</v>
      </c>
      <c r="J14" s="3">
        <v>45</v>
      </c>
      <c r="K14" s="5">
        <v>1.31</v>
      </c>
      <c r="L14" s="4">
        <v>15.5</v>
      </c>
      <c r="M14" s="4">
        <v>3456.9</v>
      </c>
      <c r="N14" s="4">
        <v>24.9</v>
      </c>
      <c r="O14" s="4">
        <v>12.8</v>
      </c>
      <c r="P14" s="4">
        <v>60.9</v>
      </c>
      <c r="Q14" s="5">
        <v>0.08</v>
      </c>
    </row>
    <row r="15" spans="1:23">
      <c r="A15" s="3">
        <v>14</v>
      </c>
      <c r="B15" s="2" t="s">
        <v>27</v>
      </c>
      <c r="C15" s="2" t="s">
        <v>41</v>
      </c>
      <c r="D15" s="2" t="s">
        <v>28</v>
      </c>
      <c r="E15" s="2" t="s">
        <v>21</v>
      </c>
      <c r="F15" s="4">
        <v>14</v>
      </c>
      <c r="G15" s="4">
        <v>4089</v>
      </c>
      <c r="H15" s="2" t="s">
        <v>29</v>
      </c>
      <c r="I15" s="2" t="s">
        <v>23</v>
      </c>
      <c r="J15" s="3">
        <v>330</v>
      </c>
      <c r="K15" s="5">
        <v>0.92</v>
      </c>
      <c r="L15" s="4">
        <v>16.100000000000001</v>
      </c>
      <c r="M15" s="4">
        <v>2583.3000000000002</v>
      </c>
      <c r="N15" s="4">
        <v>33.299999999999997</v>
      </c>
      <c r="O15" s="4">
        <v>8.5</v>
      </c>
      <c r="P15" s="4">
        <v>466.5</v>
      </c>
      <c r="Q15" s="5">
        <v>0.43</v>
      </c>
      <c r="R15" t="s">
        <v>285</v>
      </c>
      <c r="S15">
        <f>RSQ(L19:L456,N19:N456)</f>
        <v>0.30509664880515508</v>
      </c>
    </row>
    <row r="16" spans="1:23">
      <c r="A16" s="3">
        <v>8</v>
      </c>
      <c r="B16" s="2" t="s">
        <v>25</v>
      </c>
      <c r="C16" s="2" t="s">
        <v>24</v>
      </c>
      <c r="D16" s="2" t="s">
        <v>26</v>
      </c>
      <c r="E16" s="2" t="s">
        <v>21</v>
      </c>
      <c r="F16" s="4">
        <v>15</v>
      </c>
      <c r="G16" s="4">
        <v>5272.3</v>
      </c>
      <c r="H16" s="2" t="s">
        <v>22</v>
      </c>
      <c r="I16" s="2" t="s">
        <v>23</v>
      </c>
      <c r="J16" s="3">
        <v>300</v>
      </c>
      <c r="K16" s="5">
        <v>0.9</v>
      </c>
      <c r="L16" s="4">
        <v>16.7</v>
      </c>
      <c r="M16" s="4">
        <v>2525.1</v>
      </c>
      <c r="N16" s="4">
        <v>34.1</v>
      </c>
      <c r="O16" s="4">
        <v>9.1</v>
      </c>
      <c r="P16" s="4">
        <v>439.1</v>
      </c>
      <c r="Q16" s="5">
        <v>0.4</v>
      </c>
    </row>
    <row r="17" spans="1:19" ht="15">
      <c r="A17" s="3">
        <v>17</v>
      </c>
      <c r="B17" s="2" t="s">
        <v>27</v>
      </c>
      <c r="C17" s="2" t="s">
        <v>33</v>
      </c>
      <c r="D17" s="2" t="s">
        <v>28</v>
      </c>
      <c r="E17" s="2" t="s">
        <v>21</v>
      </c>
      <c r="F17" s="4">
        <v>13.6</v>
      </c>
      <c r="G17" s="4">
        <v>4089</v>
      </c>
      <c r="H17" s="2" t="s">
        <v>29</v>
      </c>
      <c r="I17" s="2" t="s">
        <v>23</v>
      </c>
      <c r="J17" s="3">
        <v>330</v>
      </c>
      <c r="K17" s="5">
        <v>0.93</v>
      </c>
      <c r="L17" s="4">
        <v>18.2</v>
      </c>
      <c r="M17" s="4">
        <v>2589.6999999999998</v>
      </c>
      <c r="N17" s="4">
        <v>33.200000000000003</v>
      </c>
      <c r="O17" s="4">
        <v>8.5</v>
      </c>
      <c r="P17" s="4">
        <v>526.70000000000005</v>
      </c>
      <c r="Q17" s="5">
        <v>0.49</v>
      </c>
      <c r="R17" s="9" t="s">
        <v>288</v>
      </c>
    </row>
    <row r="18" spans="1:19">
      <c r="A18" s="3">
        <v>68</v>
      </c>
      <c r="B18" s="2" t="s">
        <v>97</v>
      </c>
      <c r="C18" s="2" t="s">
        <v>19</v>
      </c>
      <c r="D18" s="2" t="s">
        <v>98</v>
      </c>
      <c r="E18" s="2" t="s">
        <v>21</v>
      </c>
      <c r="F18" s="4">
        <v>2.7</v>
      </c>
      <c r="G18" s="4">
        <v>4788.7</v>
      </c>
      <c r="H18" s="2" t="s">
        <v>99</v>
      </c>
      <c r="I18" s="2" t="s">
        <v>23</v>
      </c>
      <c r="J18" s="3">
        <v>525</v>
      </c>
      <c r="K18" s="5">
        <v>0.95</v>
      </c>
      <c r="L18" s="4">
        <v>18.7</v>
      </c>
      <c r="M18" s="4">
        <v>2639.9</v>
      </c>
      <c r="N18" s="4">
        <v>32.6</v>
      </c>
      <c r="O18" s="4">
        <v>6.6</v>
      </c>
      <c r="P18" s="4">
        <v>861.9</v>
      </c>
      <c r="Q18" s="5">
        <v>0.82</v>
      </c>
    </row>
    <row r="19" spans="1:19">
      <c r="A19" s="3">
        <v>217</v>
      </c>
      <c r="B19" s="2" t="s">
        <v>176</v>
      </c>
      <c r="C19" s="2" t="s">
        <v>33</v>
      </c>
      <c r="D19" s="2" t="s">
        <v>177</v>
      </c>
      <c r="E19" s="2" t="s">
        <v>21</v>
      </c>
      <c r="F19" s="4">
        <v>5.4</v>
      </c>
      <c r="G19" s="4">
        <v>3044</v>
      </c>
      <c r="H19" s="2" t="s">
        <v>39</v>
      </c>
      <c r="I19" s="2" t="s">
        <v>23</v>
      </c>
      <c r="J19" s="3">
        <v>360</v>
      </c>
      <c r="K19" s="5">
        <v>1.02</v>
      </c>
      <c r="L19" s="4">
        <v>20.100000000000001</v>
      </c>
      <c r="M19" s="4">
        <v>2694.3</v>
      </c>
      <c r="N19" s="4">
        <v>31.9</v>
      </c>
      <c r="O19" s="4">
        <v>10.1</v>
      </c>
      <c r="P19" s="4">
        <v>633.9</v>
      </c>
      <c r="Q19" s="5">
        <v>0.65</v>
      </c>
      <c r="R19" t="s">
        <v>286</v>
      </c>
      <c r="S19">
        <f>CORREL(J19:J456,L19:L456)</f>
        <v>0.22457988327240389</v>
      </c>
    </row>
    <row r="20" spans="1:19">
      <c r="A20" s="3">
        <v>452</v>
      </c>
      <c r="B20" s="2" t="s">
        <v>273</v>
      </c>
      <c r="C20" s="2" t="s">
        <v>24</v>
      </c>
      <c r="D20" s="2" t="s">
        <v>274</v>
      </c>
      <c r="E20" s="2" t="s">
        <v>35</v>
      </c>
      <c r="F20" s="4">
        <v>7.4</v>
      </c>
      <c r="G20" s="4">
        <v>2758</v>
      </c>
      <c r="H20" s="2" t="s">
        <v>43</v>
      </c>
      <c r="I20" s="2" t="s">
        <v>238</v>
      </c>
      <c r="J20" s="3">
        <v>250</v>
      </c>
      <c r="K20" s="5">
        <v>1.59</v>
      </c>
      <c r="L20" s="4">
        <v>20.7</v>
      </c>
      <c r="M20" s="4">
        <v>3756.5</v>
      </c>
      <c r="N20" s="4">
        <v>22.9</v>
      </c>
      <c r="O20" s="4">
        <v>20.9</v>
      </c>
      <c r="P20" s="4">
        <v>453</v>
      </c>
      <c r="Q20" s="5">
        <v>0.72</v>
      </c>
    </row>
    <row r="21" spans="1:19" ht="15">
      <c r="A21" s="3">
        <v>54</v>
      </c>
      <c r="B21" s="2" t="s">
        <v>59</v>
      </c>
      <c r="C21" s="2" t="s">
        <v>24</v>
      </c>
      <c r="D21" s="2" t="s">
        <v>60</v>
      </c>
      <c r="E21" s="2" t="s">
        <v>21</v>
      </c>
      <c r="F21" s="4">
        <v>12.1</v>
      </c>
      <c r="G21" s="4">
        <v>5060</v>
      </c>
      <c r="H21" s="2" t="s">
        <v>22</v>
      </c>
      <c r="I21" s="2" t="s">
        <v>23</v>
      </c>
      <c r="J21" s="3">
        <v>600</v>
      </c>
      <c r="K21" s="5">
        <v>0.95</v>
      </c>
      <c r="L21" s="4">
        <v>21</v>
      </c>
      <c r="M21" s="4">
        <v>2650</v>
      </c>
      <c r="N21" s="4">
        <v>32.4</v>
      </c>
      <c r="O21" s="4">
        <v>7</v>
      </c>
      <c r="P21" s="4">
        <v>1104.8</v>
      </c>
      <c r="Q21" s="5">
        <v>1.05</v>
      </c>
      <c r="R21" s="9" t="s">
        <v>290</v>
      </c>
      <c r="S21" s="11">
        <f>MEDIAN(L2:L456)</f>
        <v>63.2</v>
      </c>
    </row>
    <row r="22" spans="1:19" ht="15">
      <c r="A22" s="3">
        <v>307</v>
      </c>
      <c r="B22" s="2" t="s">
        <v>213</v>
      </c>
      <c r="C22" s="2" t="s">
        <v>33</v>
      </c>
      <c r="D22" s="2" t="s">
        <v>142</v>
      </c>
      <c r="E22" s="2" t="s">
        <v>35</v>
      </c>
      <c r="F22" s="4">
        <v>10.1</v>
      </c>
      <c r="G22" s="4">
        <v>3612.7</v>
      </c>
      <c r="H22" s="2" t="s">
        <v>36</v>
      </c>
      <c r="I22" s="2" t="s">
        <v>23</v>
      </c>
      <c r="J22" s="3">
        <v>250</v>
      </c>
      <c r="K22" s="5">
        <v>1.08</v>
      </c>
      <c r="L22" s="4">
        <v>22.6</v>
      </c>
      <c r="M22" s="4">
        <v>2831.7</v>
      </c>
      <c r="N22" s="4">
        <v>30.4</v>
      </c>
      <c r="O22" s="4">
        <v>11.7</v>
      </c>
      <c r="P22" s="4">
        <v>495.5</v>
      </c>
      <c r="Q22" s="5">
        <v>0.53</v>
      </c>
      <c r="R22" s="9" t="s">
        <v>291</v>
      </c>
      <c r="S22" s="11">
        <f>MEDIAN(N2:N456)</f>
        <v>31.8</v>
      </c>
    </row>
    <row r="23" spans="1:19">
      <c r="A23" s="3">
        <v>31</v>
      </c>
      <c r="B23" s="2" t="s">
        <v>66</v>
      </c>
      <c r="C23" s="2" t="s">
        <v>19</v>
      </c>
      <c r="D23" s="2" t="s">
        <v>20</v>
      </c>
      <c r="E23" s="2" t="s">
        <v>21</v>
      </c>
      <c r="F23" s="4">
        <v>14</v>
      </c>
      <c r="G23" s="4">
        <v>5300</v>
      </c>
      <c r="H23" s="2" t="s">
        <v>22</v>
      </c>
      <c r="I23" s="2" t="s">
        <v>23</v>
      </c>
      <c r="J23" s="3">
        <v>300</v>
      </c>
      <c r="K23" s="5">
        <v>0.94</v>
      </c>
      <c r="L23" s="4">
        <v>23.5</v>
      </c>
      <c r="M23" s="4">
        <v>2622</v>
      </c>
      <c r="N23" s="4">
        <v>32.799999999999997</v>
      </c>
      <c r="O23" s="4">
        <v>8.6</v>
      </c>
      <c r="P23" s="4">
        <v>617.79999999999995</v>
      </c>
      <c r="Q23" s="5">
        <v>0.57999999999999996</v>
      </c>
    </row>
    <row r="24" spans="1:19">
      <c r="A24" s="3">
        <v>354</v>
      </c>
      <c r="B24" s="2" t="s">
        <v>223</v>
      </c>
      <c r="C24" s="2" t="s">
        <v>33</v>
      </c>
      <c r="D24" s="2" t="s">
        <v>162</v>
      </c>
      <c r="E24" s="2" t="s">
        <v>35</v>
      </c>
      <c r="F24" s="4">
        <v>38.4</v>
      </c>
      <c r="G24" s="4">
        <v>3799.1</v>
      </c>
      <c r="H24" s="2" t="s">
        <v>36</v>
      </c>
      <c r="I24" s="2" t="s">
        <v>23</v>
      </c>
      <c r="J24" s="3">
        <v>210</v>
      </c>
      <c r="K24" s="5">
        <v>1.1399999999999999</v>
      </c>
      <c r="L24" s="4">
        <v>23.8</v>
      </c>
      <c r="M24" s="4">
        <v>2995</v>
      </c>
      <c r="N24" s="4">
        <v>28.7</v>
      </c>
      <c r="O24" s="4">
        <v>10.1</v>
      </c>
      <c r="P24" s="4">
        <v>437</v>
      </c>
      <c r="Q24" s="5">
        <v>0.5</v>
      </c>
      <c r="R24" t="s">
        <v>293</v>
      </c>
      <c r="S24" s="10">
        <f>AVERAGE(L2:L456)</f>
        <v>60.467032967032992</v>
      </c>
    </row>
    <row r="25" spans="1:19">
      <c r="A25" s="3">
        <v>418</v>
      </c>
      <c r="B25" s="2" t="s">
        <v>259</v>
      </c>
      <c r="C25" s="2" t="s">
        <v>24</v>
      </c>
      <c r="D25" s="2" t="s">
        <v>252</v>
      </c>
      <c r="E25" s="2" t="s">
        <v>21</v>
      </c>
      <c r="F25" s="4">
        <v>12.7</v>
      </c>
      <c r="G25" s="4">
        <v>3496</v>
      </c>
      <c r="H25" s="2" t="s">
        <v>39</v>
      </c>
      <c r="I25" s="2" t="s">
        <v>23</v>
      </c>
      <c r="J25" s="3">
        <v>45</v>
      </c>
      <c r="K25" s="5">
        <v>1.22</v>
      </c>
      <c r="L25" s="4">
        <v>25.8</v>
      </c>
      <c r="M25" s="4">
        <v>3213.1</v>
      </c>
      <c r="N25" s="4">
        <v>26.8</v>
      </c>
      <c r="O25" s="4">
        <v>9.6999999999999993</v>
      </c>
      <c r="P25" s="4">
        <v>101.5</v>
      </c>
      <c r="Q25" s="5">
        <v>0.12</v>
      </c>
    </row>
    <row r="26" spans="1:19">
      <c r="A26" s="3">
        <v>314</v>
      </c>
      <c r="B26" s="2" t="s">
        <v>214</v>
      </c>
      <c r="C26" s="2" t="s">
        <v>24</v>
      </c>
      <c r="D26" s="2" t="s">
        <v>215</v>
      </c>
      <c r="E26" s="2" t="s">
        <v>35</v>
      </c>
      <c r="F26" s="4">
        <v>38.4</v>
      </c>
      <c r="G26" s="4">
        <v>3138.4</v>
      </c>
      <c r="H26" s="2" t="s">
        <v>39</v>
      </c>
      <c r="I26" s="2" t="s">
        <v>23</v>
      </c>
      <c r="J26" s="3">
        <v>210</v>
      </c>
      <c r="K26" s="5">
        <v>1.0900000000000001</v>
      </c>
      <c r="L26" s="4">
        <v>26.5</v>
      </c>
      <c r="M26" s="4">
        <v>2816.8</v>
      </c>
      <c r="N26" s="4">
        <v>30.5</v>
      </c>
      <c r="O26" s="4">
        <v>11.3</v>
      </c>
      <c r="P26" s="4">
        <v>488.2</v>
      </c>
      <c r="Q26" s="5">
        <v>0.53</v>
      </c>
      <c r="R26" t="s">
        <v>292</v>
      </c>
    </row>
    <row r="27" spans="1:19">
      <c r="A27" s="3">
        <v>450</v>
      </c>
      <c r="B27" s="2" t="s">
        <v>273</v>
      </c>
      <c r="C27" s="2" t="s">
        <v>19</v>
      </c>
      <c r="D27" s="2" t="s">
        <v>274</v>
      </c>
      <c r="E27" s="2" t="s">
        <v>35</v>
      </c>
      <c r="F27" s="4">
        <v>8.1999999999999993</v>
      </c>
      <c r="G27" s="4">
        <v>2773</v>
      </c>
      <c r="H27" s="2" t="s">
        <v>43</v>
      </c>
      <c r="I27" s="2" t="s">
        <v>238</v>
      </c>
      <c r="J27" s="3">
        <v>250</v>
      </c>
      <c r="K27" s="5">
        <v>1.58</v>
      </c>
      <c r="L27" s="4">
        <v>27.7</v>
      </c>
      <c r="M27" s="4">
        <v>3723.2</v>
      </c>
      <c r="N27" s="4">
        <v>23.1</v>
      </c>
      <c r="O27" s="4">
        <v>20.9</v>
      </c>
      <c r="P27" s="4">
        <v>607</v>
      </c>
      <c r="Q27" s="5">
        <v>0.96</v>
      </c>
    </row>
    <row r="28" spans="1:19" ht="15">
      <c r="A28" s="3">
        <v>279</v>
      </c>
      <c r="B28" s="2" t="s">
        <v>182</v>
      </c>
      <c r="C28" s="2" t="s">
        <v>33</v>
      </c>
      <c r="D28" s="2" t="s">
        <v>162</v>
      </c>
      <c r="E28" s="2" t="s">
        <v>35</v>
      </c>
      <c r="F28" s="4">
        <v>8.9</v>
      </c>
      <c r="G28" s="4">
        <v>4988</v>
      </c>
      <c r="H28" s="2" t="s">
        <v>99</v>
      </c>
      <c r="I28" s="2" t="s">
        <v>23</v>
      </c>
      <c r="J28" s="3">
        <v>250</v>
      </c>
      <c r="K28" s="5">
        <v>1.06</v>
      </c>
      <c r="L28" s="4">
        <v>28.2</v>
      </c>
      <c r="M28" s="4">
        <v>2942.7</v>
      </c>
      <c r="N28" s="4">
        <v>29.2</v>
      </c>
      <c r="O28" s="4">
        <v>31.1</v>
      </c>
      <c r="P28" s="4">
        <v>617</v>
      </c>
      <c r="Q28" s="5">
        <v>0.65</v>
      </c>
      <c r="R28" s="9" t="s">
        <v>294</v>
      </c>
    </row>
    <row r="29" spans="1:19">
      <c r="A29" s="3">
        <v>431</v>
      </c>
      <c r="B29" s="2" t="s">
        <v>266</v>
      </c>
      <c r="C29" s="2" t="s">
        <v>24</v>
      </c>
      <c r="D29" s="2" t="s">
        <v>247</v>
      </c>
      <c r="E29" s="2" t="s">
        <v>47</v>
      </c>
      <c r="F29" s="4">
        <v>9.5</v>
      </c>
      <c r="G29" s="4">
        <v>2587</v>
      </c>
      <c r="H29" s="2" t="s">
        <v>43</v>
      </c>
      <c r="I29" s="2" t="s">
        <v>238</v>
      </c>
      <c r="J29" s="3">
        <v>250</v>
      </c>
      <c r="K29" s="5">
        <v>1.3</v>
      </c>
      <c r="L29" s="4">
        <v>28.4</v>
      </c>
      <c r="M29" s="4">
        <v>3054.5</v>
      </c>
      <c r="N29" s="4">
        <v>28.2</v>
      </c>
      <c r="O29" s="4">
        <v>16.8</v>
      </c>
      <c r="P29" s="4">
        <v>622.79999999999995</v>
      </c>
      <c r="Q29" s="5">
        <v>0.81</v>
      </c>
    </row>
    <row r="30" spans="1:19">
      <c r="A30" s="3">
        <v>239</v>
      </c>
      <c r="B30" s="2" t="s">
        <v>141</v>
      </c>
      <c r="C30" s="2" t="s">
        <v>41</v>
      </c>
      <c r="D30" s="2" t="s">
        <v>142</v>
      </c>
      <c r="E30" s="2" t="s">
        <v>35</v>
      </c>
      <c r="F30" s="4">
        <v>35.9</v>
      </c>
      <c r="G30" s="4">
        <v>3481.4</v>
      </c>
      <c r="H30" s="2" t="s">
        <v>39</v>
      </c>
      <c r="I30" s="2" t="s">
        <v>23</v>
      </c>
      <c r="J30" s="3">
        <v>210</v>
      </c>
      <c r="K30" s="5">
        <v>1.04</v>
      </c>
      <c r="L30" s="4">
        <v>28.6</v>
      </c>
      <c r="M30" s="4">
        <v>2729.3</v>
      </c>
      <c r="N30" s="4">
        <v>31.5</v>
      </c>
      <c r="O30" s="4">
        <v>13</v>
      </c>
      <c r="P30" s="4">
        <v>526.79999999999995</v>
      </c>
      <c r="Q30" s="5">
        <v>0.55000000000000004</v>
      </c>
      <c r="R30" t="s">
        <v>286</v>
      </c>
      <c r="S30">
        <f>CORREL(F2:F456,L2:L456)</f>
        <v>9.986942142391134E-3</v>
      </c>
    </row>
    <row r="31" spans="1:19">
      <c r="A31" s="3">
        <v>272</v>
      </c>
      <c r="B31" s="2" t="s">
        <v>201</v>
      </c>
      <c r="C31" s="2" t="s">
        <v>24</v>
      </c>
      <c r="D31" s="2" t="s">
        <v>202</v>
      </c>
      <c r="E31" s="2" t="s">
        <v>21</v>
      </c>
      <c r="F31" s="4">
        <v>8.4</v>
      </c>
      <c r="G31" s="4">
        <v>3532.9</v>
      </c>
      <c r="H31" s="2" t="s">
        <v>36</v>
      </c>
      <c r="I31" s="2" t="s">
        <v>23</v>
      </c>
      <c r="J31" s="3">
        <v>300</v>
      </c>
      <c r="K31" s="5">
        <v>1.06</v>
      </c>
      <c r="L31" s="4">
        <v>28.7</v>
      </c>
      <c r="M31" s="4">
        <v>2792.1</v>
      </c>
      <c r="N31" s="4">
        <v>30.8</v>
      </c>
      <c r="O31" s="4">
        <v>6.8</v>
      </c>
      <c r="P31" s="4">
        <v>753</v>
      </c>
      <c r="Q31" s="5">
        <v>0.8</v>
      </c>
    </row>
    <row r="32" spans="1:19">
      <c r="A32" s="3">
        <v>33</v>
      </c>
      <c r="B32" s="2" t="s">
        <v>69</v>
      </c>
      <c r="C32" s="2" t="s">
        <v>19</v>
      </c>
      <c r="D32" s="2" t="s">
        <v>70</v>
      </c>
      <c r="E32" s="2" t="s">
        <v>21</v>
      </c>
      <c r="F32" s="4">
        <v>8.9</v>
      </c>
      <c r="G32" s="4">
        <v>4015</v>
      </c>
      <c r="H32" s="2" t="s">
        <v>29</v>
      </c>
      <c r="I32" s="2" t="s">
        <v>23</v>
      </c>
      <c r="J32" s="3">
        <v>600</v>
      </c>
      <c r="K32" s="5">
        <v>0.94</v>
      </c>
      <c r="L32" s="4">
        <v>29.2</v>
      </c>
      <c r="M32" s="4">
        <v>2623.9</v>
      </c>
      <c r="N32" s="4">
        <v>32.799999999999997</v>
      </c>
      <c r="O32" s="4">
        <v>8.1999999999999993</v>
      </c>
      <c r="P32" s="4">
        <v>1535</v>
      </c>
      <c r="Q32" s="5">
        <v>1.44</v>
      </c>
    </row>
    <row r="33" spans="1:17">
      <c r="A33" s="3">
        <v>326</v>
      </c>
      <c r="B33" s="2" t="s">
        <v>217</v>
      </c>
      <c r="C33" s="2" t="s">
        <v>45</v>
      </c>
      <c r="D33" s="2" t="s">
        <v>218</v>
      </c>
      <c r="E33" s="2" t="s">
        <v>35</v>
      </c>
      <c r="F33" s="4">
        <v>16.7</v>
      </c>
      <c r="G33" s="4">
        <v>3872</v>
      </c>
      <c r="H33" s="2" t="s">
        <v>36</v>
      </c>
      <c r="I33" s="2" t="s">
        <v>23</v>
      </c>
      <c r="J33" s="3">
        <v>300</v>
      </c>
      <c r="K33" s="5">
        <v>1.1000000000000001</v>
      </c>
      <c r="L33" s="4">
        <v>29.2</v>
      </c>
      <c r="M33" s="4">
        <v>2887.6</v>
      </c>
      <c r="N33" s="4">
        <v>29.8</v>
      </c>
      <c r="O33" s="4">
        <v>10.8</v>
      </c>
      <c r="P33" s="4">
        <v>767</v>
      </c>
      <c r="Q33" s="5">
        <v>0.84</v>
      </c>
    </row>
    <row r="34" spans="1:17">
      <c r="A34" s="3">
        <v>186</v>
      </c>
      <c r="B34" s="2" t="s">
        <v>164</v>
      </c>
      <c r="C34" s="2" t="s">
        <v>19</v>
      </c>
      <c r="D34" s="2" t="s">
        <v>165</v>
      </c>
      <c r="E34" s="2" t="s">
        <v>21</v>
      </c>
      <c r="F34" s="4">
        <v>11.4</v>
      </c>
      <c r="G34" s="4">
        <v>3551</v>
      </c>
      <c r="H34" s="2" t="s">
        <v>36</v>
      </c>
      <c r="I34" s="2" t="s">
        <v>23</v>
      </c>
      <c r="J34" s="3">
        <v>270</v>
      </c>
      <c r="K34" s="5">
        <v>1</v>
      </c>
      <c r="L34" s="4">
        <v>29.3</v>
      </c>
      <c r="M34" s="4">
        <v>2621.4</v>
      </c>
      <c r="N34" s="4">
        <v>32.799999999999997</v>
      </c>
      <c r="O34" s="4">
        <v>8.8000000000000007</v>
      </c>
      <c r="P34" s="4">
        <v>692.3</v>
      </c>
      <c r="Q34" s="5">
        <v>0.69</v>
      </c>
    </row>
    <row r="35" spans="1:17">
      <c r="A35" s="3">
        <v>447</v>
      </c>
      <c r="B35" s="2" t="s">
        <v>271</v>
      </c>
      <c r="C35" s="2" t="s">
        <v>19</v>
      </c>
      <c r="D35" s="2" t="s">
        <v>272</v>
      </c>
      <c r="E35" s="2" t="s">
        <v>35</v>
      </c>
      <c r="F35" s="4">
        <v>19.399999999999999</v>
      </c>
      <c r="G35" s="4">
        <v>3293.7</v>
      </c>
      <c r="H35" s="2" t="s">
        <v>39</v>
      </c>
      <c r="I35" s="2" t="s">
        <v>238</v>
      </c>
      <c r="J35" s="3">
        <v>125</v>
      </c>
      <c r="K35" s="5">
        <v>1.51</v>
      </c>
      <c r="L35" s="4">
        <v>30</v>
      </c>
      <c r="M35" s="4">
        <v>3589.1</v>
      </c>
      <c r="N35" s="4">
        <v>24</v>
      </c>
      <c r="O35" s="4">
        <v>19.8</v>
      </c>
      <c r="P35" s="4">
        <v>328</v>
      </c>
      <c r="Q35" s="5">
        <v>0.5</v>
      </c>
    </row>
    <row r="36" spans="1:17">
      <c r="A36" s="3">
        <v>448</v>
      </c>
      <c r="B36" s="2" t="s">
        <v>271</v>
      </c>
      <c r="C36" s="2" t="s">
        <v>24</v>
      </c>
      <c r="D36" s="2" t="s">
        <v>272</v>
      </c>
      <c r="E36" s="2" t="s">
        <v>35</v>
      </c>
      <c r="F36" s="4">
        <v>18.600000000000001</v>
      </c>
      <c r="G36" s="4">
        <v>3264.1</v>
      </c>
      <c r="H36" s="2" t="s">
        <v>39</v>
      </c>
      <c r="I36" s="2" t="s">
        <v>238</v>
      </c>
      <c r="J36" s="3">
        <v>125</v>
      </c>
      <c r="K36" s="5">
        <v>1.56</v>
      </c>
      <c r="L36" s="4">
        <v>30.1</v>
      </c>
      <c r="M36" s="4">
        <v>3700.6</v>
      </c>
      <c r="N36" s="4">
        <v>23.2</v>
      </c>
      <c r="O36" s="4">
        <v>20</v>
      </c>
      <c r="P36" s="4">
        <v>330</v>
      </c>
      <c r="Q36" s="5">
        <v>0.52</v>
      </c>
    </row>
    <row r="37" spans="1:17">
      <c r="A37" s="3">
        <v>233</v>
      </c>
      <c r="B37" s="2" t="s">
        <v>174</v>
      </c>
      <c r="C37" s="2" t="s">
        <v>19</v>
      </c>
      <c r="D37" s="2" t="s">
        <v>142</v>
      </c>
      <c r="E37" s="2" t="s">
        <v>35</v>
      </c>
      <c r="F37" s="4">
        <v>26.2</v>
      </c>
      <c r="G37" s="4">
        <v>3347</v>
      </c>
      <c r="H37" s="2" t="s">
        <v>39</v>
      </c>
      <c r="I37" s="2" t="s">
        <v>23</v>
      </c>
      <c r="J37" s="3">
        <v>250</v>
      </c>
      <c r="K37" s="5">
        <v>1.03</v>
      </c>
      <c r="L37" s="4">
        <v>30.5</v>
      </c>
      <c r="M37" s="4">
        <v>2711.7</v>
      </c>
      <c r="N37" s="4">
        <v>31.7</v>
      </c>
      <c r="O37" s="4">
        <v>10.4</v>
      </c>
      <c r="P37" s="4">
        <v>668</v>
      </c>
      <c r="Q37" s="5">
        <v>0.69</v>
      </c>
    </row>
    <row r="38" spans="1:17">
      <c r="A38" s="3">
        <v>403</v>
      </c>
      <c r="B38" s="2" t="s">
        <v>251</v>
      </c>
      <c r="C38" s="2" t="s">
        <v>24</v>
      </c>
      <c r="D38" s="2" t="s">
        <v>252</v>
      </c>
      <c r="E38" s="2" t="s">
        <v>21</v>
      </c>
      <c r="F38" s="4">
        <v>12.4</v>
      </c>
      <c r="G38" s="4">
        <v>3475</v>
      </c>
      <c r="H38" s="2" t="s">
        <v>39</v>
      </c>
      <c r="I38" s="2" t="s">
        <v>23</v>
      </c>
      <c r="J38" s="3">
        <v>45</v>
      </c>
      <c r="K38" s="5">
        <v>1.21</v>
      </c>
      <c r="L38" s="4">
        <v>31.3</v>
      </c>
      <c r="M38" s="4">
        <v>3185.8</v>
      </c>
      <c r="N38" s="4">
        <v>27</v>
      </c>
      <c r="O38" s="4">
        <v>9.3000000000000007</v>
      </c>
      <c r="P38" s="4">
        <v>123.5</v>
      </c>
      <c r="Q38" s="5">
        <v>0.15</v>
      </c>
    </row>
    <row r="39" spans="1:17">
      <c r="A39" s="3">
        <v>268</v>
      </c>
      <c r="B39" s="2" t="s">
        <v>193</v>
      </c>
      <c r="C39" s="2" t="s">
        <v>19</v>
      </c>
      <c r="D39" s="2" t="s">
        <v>194</v>
      </c>
      <c r="E39" s="2" t="s">
        <v>21</v>
      </c>
      <c r="F39" s="4">
        <v>11.4</v>
      </c>
      <c r="G39" s="4">
        <v>3623.7</v>
      </c>
      <c r="H39" s="2" t="s">
        <v>36</v>
      </c>
      <c r="I39" s="2" t="s">
        <v>23</v>
      </c>
      <c r="J39" s="3">
        <v>600</v>
      </c>
      <c r="K39" s="5">
        <v>1.05</v>
      </c>
      <c r="L39" s="4">
        <v>31.7</v>
      </c>
      <c r="M39" s="4">
        <v>2782.1</v>
      </c>
      <c r="N39" s="4">
        <v>30.9</v>
      </c>
      <c r="O39" s="4">
        <v>7.8</v>
      </c>
      <c r="P39" s="4">
        <v>1663.8</v>
      </c>
      <c r="Q39" s="5">
        <v>1.75</v>
      </c>
    </row>
    <row r="40" spans="1:17">
      <c r="A40" s="3">
        <v>406</v>
      </c>
      <c r="B40" s="2" t="s">
        <v>253</v>
      </c>
      <c r="C40" s="2" t="s">
        <v>19</v>
      </c>
      <c r="D40" s="2" t="s">
        <v>252</v>
      </c>
      <c r="E40" s="2" t="s">
        <v>21</v>
      </c>
      <c r="F40" s="4">
        <v>12.5</v>
      </c>
      <c r="G40" s="4">
        <v>3432</v>
      </c>
      <c r="H40" s="2" t="s">
        <v>39</v>
      </c>
      <c r="I40" s="2" t="s">
        <v>23</v>
      </c>
      <c r="J40" s="3">
        <v>45</v>
      </c>
      <c r="K40" s="5">
        <v>1.21</v>
      </c>
      <c r="L40" s="4">
        <v>31.9</v>
      </c>
      <c r="M40" s="4">
        <v>3195.2</v>
      </c>
      <c r="N40" s="4">
        <v>26.9</v>
      </c>
      <c r="O40" s="4">
        <v>9.3000000000000007</v>
      </c>
      <c r="P40" s="4">
        <v>125.6</v>
      </c>
      <c r="Q40" s="5">
        <v>0.15</v>
      </c>
    </row>
    <row r="41" spans="1:17">
      <c r="A41" s="3">
        <v>409</v>
      </c>
      <c r="B41" s="2" t="s">
        <v>256</v>
      </c>
      <c r="C41" s="2" t="s">
        <v>19</v>
      </c>
      <c r="D41" s="2" t="s">
        <v>252</v>
      </c>
      <c r="E41" s="2" t="s">
        <v>21</v>
      </c>
      <c r="F41" s="4">
        <v>12.8</v>
      </c>
      <c r="G41" s="4">
        <v>3546</v>
      </c>
      <c r="H41" s="2" t="s">
        <v>36</v>
      </c>
      <c r="I41" s="2" t="s">
        <v>23</v>
      </c>
      <c r="J41" s="3">
        <v>45</v>
      </c>
      <c r="K41" s="5">
        <v>1.22</v>
      </c>
      <c r="L41" s="4">
        <v>32</v>
      </c>
      <c r="M41" s="4">
        <v>3208</v>
      </c>
      <c r="N41" s="4">
        <v>26.8</v>
      </c>
      <c r="O41" s="4">
        <v>6.5</v>
      </c>
      <c r="P41" s="4">
        <v>126</v>
      </c>
      <c r="Q41" s="5">
        <v>0.15</v>
      </c>
    </row>
    <row r="42" spans="1:17">
      <c r="A42" s="3">
        <v>375</v>
      </c>
      <c r="B42" s="2" t="s">
        <v>56</v>
      </c>
      <c r="C42" s="2" t="s">
        <v>45</v>
      </c>
      <c r="D42" s="2" t="s">
        <v>58</v>
      </c>
      <c r="E42" s="2" t="s">
        <v>35</v>
      </c>
      <c r="F42" s="4">
        <v>26.8</v>
      </c>
      <c r="G42" s="4">
        <v>2972</v>
      </c>
      <c r="H42" s="2" t="s">
        <v>43</v>
      </c>
      <c r="I42" s="2" t="s">
        <v>23</v>
      </c>
      <c r="J42" s="3">
        <v>500</v>
      </c>
      <c r="K42" s="5">
        <v>1.1599999999999999</v>
      </c>
      <c r="L42" s="4">
        <v>32.1</v>
      </c>
      <c r="M42" s="4">
        <v>3028.1</v>
      </c>
      <c r="N42" s="4">
        <v>28.4</v>
      </c>
      <c r="O42" s="4">
        <v>12.6</v>
      </c>
      <c r="P42" s="4">
        <v>1404.9</v>
      </c>
      <c r="Q42" s="5">
        <v>1.64</v>
      </c>
    </row>
    <row r="43" spans="1:17">
      <c r="A43" s="3">
        <v>282</v>
      </c>
      <c r="B43" s="2" t="s">
        <v>174</v>
      </c>
      <c r="C43" s="2" t="s">
        <v>41</v>
      </c>
      <c r="D43" s="2" t="s">
        <v>142</v>
      </c>
      <c r="E43" s="2" t="s">
        <v>35</v>
      </c>
      <c r="F43" s="4">
        <v>22.8</v>
      </c>
      <c r="G43" s="4">
        <v>3268</v>
      </c>
      <c r="H43" s="2" t="s">
        <v>39</v>
      </c>
      <c r="I43" s="2" t="s">
        <v>23</v>
      </c>
      <c r="J43" s="3">
        <v>250</v>
      </c>
      <c r="K43" s="5">
        <v>1.06</v>
      </c>
      <c r="L43" s="4">
        <v>32.4</v>
      </c>
      <c r="M43" s="4">
        <v>2768.5</v>
      </c>
      <c r="N43" s="4">
        <v>31.1</v>
      </c>
      <c r="O43" s="4">
        <v>11.7</v>
      </c>
      <c r="P43" s="4">
        <v>709.8</v>
      </c>
      <c r="Q43" s="5">
        <v>0.75</v>
      </c>
    </row>
    <row r="44" spans="1:17">
      <c r="A44" s="3">
        <v>411</v>
      </c>
      <c r="B44" s="2" t="s">
        <v>257</v>
      </c>
      <c r="C44" s="2" t="s">
        <v>24</v>
      </c>
      <c r="D44" s="2" t="s">
        <v>252</v>
      </c>
      <c r="E44" s="2" t="s">
        <v>21</v>
      </c>
      <c r="F44" s="4">
        <v>12.5</v>
      </c>
      <c r="G44" s="4">
        <v>3441</v>
      </c>
      <c r="H44" s="2" t="s">
        <v>39</v>
      </c>
      <c r="I44" s="2" t="s">
        <v>23</v>
      </c>
      <c r="J44" s="3">
        <v>45</v>
      </c>
      <c r="K44" s="5">
        <v>1.22</v>
      </c>
      <c r="L44" s="4">
        <v>32.9</v>
      </c>
      <c r="M44" s="4">
        <v>3209</v>
      </c>
      <c r="N44" s="4">
        <v>26.8</v>
      </c>
      <c r="O44" s="4">
        <v>9.6</v>
      </c>
      <c r="P44" s="4">
        <v>129.5</v>
      </c>
      <c r="Q44" s="5">
        <v>0.16</v>
      </c>
    </row>
    <row r="45" spans="1:17">
      <c r="A45" s="3">
        <v>453</v>
      </c>
      <c r="B45" s="2" t="s">
        <v>239</v>
      </c>
      <c r="C45" s="2" t="s">
        <v>41</v>
      </c>
      <c r="D45" s="2" t="s">
        <v>58</v>
      </c>
      <c r="E45" s="2" t="s">
        <v>35</v>
      </c>
      <c r="F45" s="4">
        <v>42.3</v>
      </c>
      <c r="G45" s="4">
        <v>3506.3</v>
      </c>
      <c r="H45" s="2" t="s">
        <v>36</v>
      </c>
      <c r="I45" s="2" t="s">
        <v>23</v>
      </c>
      <c r="J45" s="3">
        <v>210</v>
      </c>
      <c r="K45" s="5">
        <v>1.66</v>
      </c>
      <c r="L45" s="4">
        <v>32.9</v>
      </c>
      <c r="M45" s="4">
        <v>4351.1000000000004</v>
      </c>
      <c r="N45" s="4">
        <v>19.8</v>
      </c>
      <c r="O45" s="4">
        <v>15.4</v>
      </c>
      <c r="P45" s="4">
        <v>606</v>
      </c>
      <c r="Q45" s="5">
        <v>1</v>
      </c>
    </row>
    <row r="46" spans="1:17">
      <c r="A46" s="3">
        <v>405</v>
      </c>
      <c r="B46" s="2" t="s">
        <v>253</v>
      </c>
      <c r="C46" s="2" t="s">
        <v>24</v>
      </c>
      <c r="D46" s="2" t="s">
        <v>252</v>
      </c>
      <c r="E46" s="2" t="s">
        <v>21</v>
      </c>
      <c r="F46" s="4">
        <v>12.4</v>
      </c>
      <c r="G46" s="4">
        <v>3432</v>
      </c>
      <c r="H46" s="2" t="s">
        <v>39</v>
      </c>
      <c r="I46" s="2" t="s">
        <v>23</v>
      </c>
      <c r="J46" s="3">
        <v>45</v>
      </c>
      <c r="K46" s="5">
        <v>1.21</v>
      </c>
      <c r="L46" s="4">
        <v>33.200000000000003</v>
      </c>
      <c r="M46" s="4">
        <v>3195.2</v>
      </c>
      <c r="N46" s="4">
        <v>26.9</v>
      </c>
      <c r="O46" s="4">
        <v>9.3000000000000007</v>
      </c>
      <c r="P46" s="4">
        <v>130.80000000000001</v>
      </c>
      <c r="Q46" s="5">
        <v>0.16</v>
      </c>
    </row>
    <row r="47" spans="1:17">
      <c r="A47" s="3">
        <v>429</v>
      </c>
      <c r="B47" s="2" t="s">
        <v>223</v>
      </c>
      <c r="C47" s="2" t="s">
        <v>19</v>
      </c>
      <c r="D47" s="2" t="s">
        <v>162</v>
      </c>
      <c r="E47" s="2" t="s">
        <v>35</v>
      </c>
      <c r="F47" s="4">
        <v>42.4</v>
      </c>
      <c r="G47" s="4">
        <v>3603.2</v>
      </c>
      <c r="H47" s="2" t="s">
        <v>36</v>
      </c>
      <c r="I47" s="2" t="s">
        <v>23</v>
      </c>
      <c r="J47" s="3">
        <v>210</v>
      </c>
      <c r="K47" s="5">
        <v>1.27</v>
      </c>
      <c r="L47" s="4">
        <v>33.4</v>
      </c>
      <c r="M47" s="4">
        <v>3213.5</v>
      </c>
      <c r="N47" s="4">
        <v>26.8</v>
      </c>
      <c r="O47" s="4">
        <v>11.9</v>
      </c>
      <c r="P47" s="4">
        <v>614</v>
      </c>
      <c r="Q47" s="5">
        <v>0.78</v>
      </c>
    </row>
    <row r="48" spans="1:17">
      <c r="A48" s="3">
        <v>410</v>
      </c>
      <c r="B48" s="2" t="s">
        <v>257</v>
      </c>
      <c r="C48" s="2" t="s">
        <v>19</v>
      </c>
      <c r="D48" s="2" t="s">
        <v>252</v>
      </c>
      <c r="E48" s="2" t="s">
        <v>21</v>
      </c>
      <c r="F48" s="4">
        <v>12.8</v>
      </c>
      <c r="G48" s="4">
        <v>3441</v>
      </c>
      <c r="H48" s="2" t="s">
        <v>39</v>
      </c>
      <c r="I48" s="2" t="s">
        <v>23</v>
      </c>
      <c r="J48" s="3">
        <v>45</v>
      </c>
      <c r="K48" s="5">
        <v>1.22</v>
      </c>
      <c r="L48" s="4">
        <v>33.799999999999997</v>
      </c>
      <c r="M48" s="4">
        <v>3209.1</v>
      </c>
      <c r="N48" s="4">
        <v>26.8</v>
      </c>
      <c r="O48" s="4">
        <v>9.6</v>
      </c>
      <c r="P48" s="4">
        <v>133.30000000000001</v>
      </c>
      <c r="Q48" s="5">
        <v>0.16</v>
      </c>
    </row>
    <row r="49" spans="1:17">
      <c r="A49" s="3">
        <v>344</v>
      </c>
      <c r="B49" s="2" t="s">
        <v>228</v>
      </c>
      <c r="C49" s="2" t="s">
        <v>85</v>
      </c>
      <c r="D49" s="2" t="s">
        <v>52</v>
      </c>
      <c r="E49" s="2" t="s">
        <v>35</v>
      </c>
      <c r="F49" s="4">
        <v>42</v>
      </c>
      <c r="G49" s="4">
        <v>3430</v>
      </c>
      <c r="H49" s="2" t="s">
        <v>39</v>
      </c>
      <c r="I49" s="2" t="s">
        <v>23</v>
      </c>
      <c r="J49" s="3">
        <v>200</v>
      </c>
      <c r="K49" s="5">
        <v>1.1100000000000001</v>
      </c>
      <c r="L49" s="4">
        <v>34.200000000000003</v>
      </c>
      <c r="M49" s="4">
        <v>2904.1</v>
      </c>
      <c r="N49" s="4">
        <v>29.6</v>
      </c>
      <c r="O49" s="4">
        <v>8.8000000000000007</v>
      </c>
      <c r="P49" s="4">
        <v>600</v>
      </c>
      <c r="Q49" s="5">
        <v>0.67</v>
      </c>
    </row>
    <row r="50" spans="1:17">
      <c r="A50" s="3">
        <v>416</v>
      </c>
      <c r="B50" s="2" t="s">
        <v>259</v>
      </c>
      <c r="C50" s="2" t="s">
        <v>19</v>
      </c>
      <c r="D50" s="2" t="s">
        <v>252</v>
      </c>
      <c r="E50" s="2" t="s">
        <v>21</v>
      </c>
      <c r="F50" s="4">
        <v>13</v>
      </c>
      <c r="G50" s="4">
        <v>3496</v>
      </c>
      <c r="H50" s="2" t="s">
        <v>39</v>
      </c>
      <c r="I50" s="2" t="s">
        <v>23</v>
      </c>
      <c r="J50" s="3">
        <v>45</v>
      </c>
      <c r="K50" s="5">
        <v>1.22</v>
      </c>
      <c r="L50" s="4">
        <v>34.299999999999997</v>
      </c>
      <c r="M50" s="4">
        <v>3213.1</v>
      </c>
      <c r="N50" s="4">
        <v>26.8</v>
      </c>
      <c r="O50" s="4">
        <v>9.6999999999999993</v>
      </c>
      <c r="P50" s="4">
        <v>135.30000000000001</v>
      </c>
      <c r="Q50" s="5">
        <v>0.16</v>
      </c>
    </row>
    <row r="51" spans="1:17">
      <c r="A51" s="3">
        <v>256</v>
      </c>
      <c r="B51" s="2" t="s">
        <v>193</v>
      </c>
      <c r="C51" s="2" t="s">
        <v>24</v>
      </c>
      <c r="D51" s="2" t="s">
        <v>194</v>
      </c>
      <c r="E51" s="2" t="s">
        <v>21</v>
      </c>
      <c r="F51" s="4">
        <v>5.8</v>
      </c>
      <c r="G51" s="4">
        <v>3622.2</v>
      </c>
      <c r="H51" s="2" t="s">
        <v>36</v>
      </c>
      <c r="I51" s="2" t="s">
        <v>23</v>
      </c>
      <c r="J51" s="3">
        <v>600</v>
      </c>
      <c r="K51" s="5">
        <v>1.05</v>
      </c>
      <c r="L51" s="4">
        <v>34.700000000000003</v>
      </c>
      <c r="M51" s="4">
        <v>2765.4</v>
      </c>
      <c r="N51" s="4">
        <v>31.1</v>
      </c>
      <c r="O51" s="4">
        <v>7.8</v>
      </c>
      <c r="P51" s="4">
        <v>1825.4</v>
      </c>
      <c r="Q51" s="5">
        <v>1.91</v>
      </c>
    </row>
    <row r="52" spans="1:17">
      <c r="A52" s="3">
        <v>455</v>
      </c>
      <c r="B52" s="2" t="s">
        <v>276</v>
      </c>
      <c r="C52" s="2" t="s">
        <v>33</v>
      </c>
      <c r="D52" s="2" t="s">
        <v>162</v>
      </c>
      <c r="E52" s="2" t="s">
        <v>35</v>
      </c>
      <c r="F52" s="4">
        <v>14.6</v>
      </c>
      <c r="G52" s="4">
        <v>2303</v>
      </c>
      <c r="H52" s="2" t="s">
        <v>43</v>
      </c>
      <c r="I52" s="2" t="s">
        <v>238</v>
      </c>
      <c r="J52" s="3">
        <v>75</v>
      </c>
      <c r="K52" s="5">
        <v>2</v>
      </c>
      <c r="L52" s="4">
        <v>34.9</v>
      </c>
      <c r="M52" s="4">
        <v>4696.5</v>
      </c>
      <c r="N52" s="4">
        <v>18.3</v>
      </c>
      <c r="O52" s="4">
        <v>23.7</v>
      </c>
      <c r="P52" s="4">
        <v>229</v>
      </c>
      <c r="Q52" s="5">
        <v>0.46</v>
      </c>
    </row>
    <row r="53" spans="1:17">
      <c r="A53" s="3">
        <v>417</v>
      </c>
      <c r="B53" s="2" t="s">
        <v>256</v>
      </c>
      <c r="C53" s="2" t="s">
        <v>24</v>
      </c>
      <c r="D53" s="2" t="s">
        <v>252</v>
      </c>
      <c r="E53" s="2" t="s">
        <v>21</v>
      </c>
      <c r="F53" s="4">
        <v>12.5</v>
      </c>
      <c r="G53" s="4">
        <v>3546</v>
      </c>
      <c r="H53" s="2" t="s">
        <v>36</v>
      </c>
      <c r="I53" s="2" t="s">
        <v>23</v>
      </c>
      <c r="J53" s="3">
        <v>45</v>
      </c>
      <c r="K53" s="5">
        <v>1.22</v>
      </c>
      <c r="L53" s="4">
        <v>35</v>
      </c>
      <c r="M53" s="4">
        <v>3213.3</v>
      </c>
      <c r="N53" s="4">
        <v>26.8</v>
      </c>
      <c r="O53" s="4">
        <v>6.5</v>
      </c>
      <c r="P53" s="4">
        <v>137.9</v>
      </c>
      <c r="Q53" s="5">
        <v>0.17</v>
      </c>
    </row>
    <row r="54" spans="1:17">
      <c r="A54" s="3">
        <v>228</v>
      </c>
      <c r="B54" s="2" t="s">
        <v>182</v>
      </c>
      <c r="C54" s="2" t="s">
        <v>41</v>
      </c>
      <c r="D54" s="2" t="s">
        <v>162</v>
      </c>
      <c r="E54" s="2" t="s">
        <v>35</v>
      </c>
      <c r="F54" s="4">
        <v>9.4</v>
      </c>
      <c r="G54" s="4">
        <v>5011</v>
      </c>
      <c r="H54" s="2" t="s">
        <v>22</v>
      </c>
      <c r="I54" s="2" t="s">
        <v>23</v>
      </c>
      <c r="J54" s="3">
        <v>250</v>
      </c>
      <c r="K54" s="5">
        <v>1.03</v>
      </c>
      <c r="L54" s="4">
        <v>35.5</v>
      </c>
      <c r="M54" s="4">
        <v>2866.2</v>
      </c>
      <c r="N54" s="4">
        <v>30</v>
      </c>
      <c r="O54" s="4">
        <v>10.4</v>
      </c>
      <c r="P54" s="4">
        <v>778</v>
      </c>
      <c r="Q54" s="5">
        <v>0.8</v>
      </c>
    </row>
    <row r="55" spans="1:17">
      <c r="A55" s="3">
        <v>338</v>
      </c>
      <c r="B55" s="2" t="s">
        <v>184</v>
      </c>
      <c r="C55" s="2" t="s">
        <v>24</v>
      </c>
      <c r="D55" s="2" t="s">
        <v>185</v>
      </c>
      <c r="E55" s="2" t="s">
        <v>21</v>
      </c>
      <c r="F55" s="4">
        <v>7.3</v>
      </c>
      <c r="G55" s="4">
        <v>3099</v>
      </c>
      <c r="H55" s="2" t="s">
        <v>39</v>
      </c>
      <c r="I55" s="2" t="s">
        <v>23</v>
      </c>
      <c r="J55" s="3">
        <v>300</v>
      </c>
      <c r="K55" s="5">
        <v>1.1100000000000001</v>
      </c>
      <c r="L55" s="4">
        <v>35.5</v>
      </c>
      <c r="M55" s="4">
        <v>2904.3</v>
      </c>
      <c r="N55" s="4">
        <v>29.6</v>
      </c>
      <c r="O55" s="4">
        <v>10.4</v>
      </c>
      <c r="P55" s="4">
        <v>932.4</v>
      </c>
      <c r="Q55" s="5">
        <v>1.03</v>
      </c>
    </row>
    <row r="56" spans="1:17">
      <c r="A56" s="3">
        <v>414</v>
      </c>
      <c r="B56" s="2" t="s">
        <v>258</v>
      </c>
      <c r="C56" s="2" t="s">
        <v>78</v>
      </c>
      <c r="D56" s="2" t="s">
        <v>234</v>
      </c>
      <c r="E56" s="2" t="s">
        <v>35</v>
      </c>
      <c r="F56" s="4">
        <v>32.4</v>
      </c>
      <c r="G56" s="4">
        <v>3867.4</v>
      </c>
      <c r="H56" s="2" t="s">
        <v>36</v>
      </c>
      <c r="I56" s="2" t="s">
        <v>23</v>
      </c>
      <c r="J56" s="3">
        <v>210</v>
      </c>
      <c r="K56" s="5">
        <v>1.22</v>
      </c>
      <c r="L56" s="4">
        <v>35.700000000000003</v>
      </c>
      <c r="M56" s="4">
        <v>3192.2</v>
      </c>
      <c r="N56" s="4">
        <v>26.9</v>
      </c>
      <c r="O56" s="4">
        <v>9.6</v>
      </c>
      <c r="P56" s="4">
        <v>656.7</v>
      </c>
      <c r="Q56" s="5">
        <v>0.8</v>
      </c>
    </row>
    <row r="57" spans="1:17">
      <c r="A57" s="3">
        <v>424</v>
      </c>
      <c r="B57" s="2" t="s">
        <v>223</v>
      </c>
      <c r="C57" s="2" t="s">
        <v>24</v>
      </c>
      <c r="D57" s="2" t="s">
        <v>162</v>
      </c>
      <c r="E57" s="2" t="s">
        <v>35</v>
      </c>
      <c r="F57" s="4">
        <v>41.6</v>
      </c>
      <c r="G57" s="4">
        <v>3648.5</v>
      </c>
      <c r="H57" s="2" t="s">
        <v>36</v>
      </c>
      <c r="I57" s="2" t="s">
        <v>23</v>
      </c>
      <c r="J57" s="3">
        <v>210</v>
      </c>
      <c r="K57" s="5">
        <v>1.24</v>
      </c>
      <c r="L57" s="4">
        <v>35.700000000000003</v>
      </c>
      <c r="M57" s="4">
        <v>3142</v>
      </c>
      <c r="N57" s="4">
        <v>27.4</v>
      </c>
      <c r="O57" s="4">
        <v>10.6</v>
      </c>
      <c r="P57" s="4">
        <v>657</v>
      </c>
      <c r="Q57" s="5">
        <v>0.82</v>
      </c>
    </row>
    <row r="58" spans="1:17">
      <c r="A58" s="3">
        <v>258</v>
      </c>
      <c r="B58" s="2" t="s">
        <v>197</v>
      </c>
      <c r="C58" s="2" t="s">
        <v>24</v>
      </c>
      <c r="D58" s="2" t="s">
        <v>198</v>
      </c>
      <c r="E58" s="2" t="s">
        <v>21</v>
      </c>
      <c r="F58" s="4">
        <v>7.3</v>
      </c>
      <c r="G58" s="4">
        <v>3297</v>
      </c>
      <c r="H58" s="2" t="s">
        <v>39</v>
      </c>
      <c r="I58" s="2" t="s">
        <v>23</v>
      </c>
      <c r="J58" s="3">
        <v>300</v>
      </c>
      <c r="K58" s="5">
        <v>1.05</v>
      </c>
      <c r="L58" s="4">
        <v>36</v>
      </c>
      <c r="M58" s="4">
        <v>2762.7</v>
      </c>
      <c r="N58" s="4">
        <v>31.1</v>
      </c>
      <c r="O58" s="4">
        <v>10.7</v>
      </c>
      <c r="P58" s="4">
        <v>946.1</v>
      </c>
      <c r="Q58" s="5">
        <v>0.99</v>
      </c>
    </row>
    <row r="59" spans="1:17">
      <c r="A59" s="3">
        <v>391</v>
      </c>
      <c r="B59" s="2" t="s">
        <v>248</v>
      </c>
      <c r="C59" s="2" t="s">
        <v>41</v>
      </c>
      <c r="D59" s="2" t="s">
        <v>58</v>
      </c>
      <c r="E59" s="2" t="s">
        <v>35</v>
      </c>
      <c r="F59" s="4">
        <v>45.4</v>
      </c>
      <c r="G59" s="4">
        <v>2792</v>
      </c>
      <c r="H59" s="2" t="s">
        <v>43</v>
      </c>
      <c r="I59" s="2" t="s">
        <v>23</v>
      </c>
      <c r="J59" s="3">
        <v>210</v>
      </c>
      <c r="K59" s="5">
        <v>1.2</v>
      </c>
      <c r="L59" s="4">
        <v>38.200000000000003</v>
      </c>
      <c r="M59" s="4">
        <v>3105.8</v>
      </c>
      <c r="N59" s="4">
        <v>27.7</v>
      </c>
      <c r="O59" s="4">
        <v>12.6</v>
      </c>
      <c r="P59" s="4">
        <v>703</v>
      </c>
      <c r="Q59" s="5">
        <v>0.84</v>
      </c>
    </row>
    <row r="60" spans="1:17">
      <c r="A60" s="3">
        <v>304</v>
      </c>
      <c r="B60" s="2" t="s">
        <v>189</v>
      </c>
      <c r="C60" s="2" t="s">
        <v>19</v>
      </c>
      <c r="D60" s="2" t="s">
        <v>144</v>
      </c>
      <c r="E60" s="2" t="s">
        <v>35</v>
      </c>
      <c r="F60" s="4">
        <v>11.4</v>
      </c>
      <c r="G60" s="4">
        <v>3085.1</v>
      </c>
      <c r="H60" s="2" t="s">
        <v>39</v>
      </c>
      <c r="I60" s="2" t="s">
        <v>23</v>
      </c>
      <c r="J60" s="3">
        <v>600</v>
      </c>
      <c r="K60" s="5">
        <v>1.08</v>
      </c>
      <c r="L60" s="4">
        <v>38.700000000000003</v>
      </c>
      <c r="M60" s="4">
        <v>2844.2</v>
      </c>
      <c r="N60" s="4">
        <v>30.2</v>
      </c>
      <c r="O60" s="4">
        <v>8.9</v>
      </c>
      <c r="P60" s="4">
        <v>2033.4</v>
      </c>
      <c r="Q60" s="5">
        <v>2.19</v>
      </c>
    </row>
    <row r="61" spans="1:17">
      <c r="A61" s="3">
        <v>223</v>
      </c>
      <c r="B61" s="2" t="s">
        <v>179</v>
      </c>
      <c r="C61" s="2" t="s">
        <v>24</v>
      </c>
      <c r="D61" s="2" t="s">
        <v>180</v>
      </c>
      <c r="E61" s="2" t="s">
        <v>21</v>
      </c>
      <c r="F61" s="4">
        <v>8.6</v>
      </c>
      <c r="G61" s="4">
        <v>3990</v>
      </c>
      <c r="H61" s="2" t="s">
        <v>36</v>
      </c>
      <c r="I61" s="2" t="s">
        <v>23</v>
      </c>
      <c r="J61" s="3">
        <v>600</v>
      </c>
      <c r="K61" s="5">
        <v>1.03</v>
      </c>
      <c r="L61" s="4">
        <v>39</v>
      </c>
      <c r="M61" s="4">
        <v>2871.6</v>
      </c>
      <c r="N61" s="4">
        <v>29.9</v>
      </c>
      <c r="O61" s="4">
        <v>6.9</v>
      </c>
      <c r="P61" s="4">
        <v>2048.1999999999998</v>
      </c>
      <c r="Q61" s="5">
        <v>2.11</v>
      </c>
    </row>
    <row r="62" spans="1:17">
      <c r="A62" s="3">
        <v>355</v>
      </c>
      <c r="B62" s="2" t="s">
        <v>225</v>
      </c>
      <c r="C62" s="2" t="s">
        <v>24</v>
      </c>
      <c r="D62" s="2" t="s">
        <v>226</v>
      </c>
      <c r="E62" s="2" t="s">
        <v>21</v>
      </c>
      <c r="F62" s="4">
        <v>8.5</v>
      </c>
      <c r="G62" s="4">
        <v>3722.9</v>
      </c>
      <c r="H62" s="2" t="s">
        <v>36</v>
      </c>
      <c r="I62" s="2" t="s">
        <v>23</v>
      </c>
      <c r="J62" s="3">
        <v>270</v>
      </c>
      <c r="K62" s="5">
        <v>1.1399999999999999</v>
      </c>
      <c r="L62" s="4">
        <v>40</v>
      </c>
      <c r="M62" s="4">
        <v>2988.7</v>
      </c>
      <c r="N62" s="4">
        <v>28.8</v>
      </c>
      <c r="O62" s="4">
        <v>9.8000000000000007</v>
      </c>
      <c r="P62" s="4">
        <v>946.9</v>
      </c>
      <c r="Q62" s="5">
        <v>1.08</v>
      </c>
    </row>
    <row r="63" spans="1:17">
      <c r="A63" s="3">
        <v>365</v>
      </c>
      <c r="B63" s="2" t="s">
        <v>161</v>
      </c>
      <c r="C63" s="2" t="s">
        <v>41</v>
      </c>
      <c r="D63" s="2" t="s">
        <v>162</v>
      </c>
      <c r="E63" s="2" t="s">
        <v>35</v>
      </c>
      <c r="F63" s="4">
        <v>45.5</v>
      </c>
      <c r="G63" s="4">
        <v>3516</v>
      </c>
      <c r="H63" s="2" t="s">
        <v>36</v>
      </c>
      <c r="I63" s="2" t="s">
        <v>23</v>
      </c>
      <c r="J63" s="3">
        <v>200</v>
      </c>
      <c r="K63" s="5">
        <v>1.1499999999999999</v>
      </c>
      <c r="L63" s="4">
        <v>40.4</v>
      </c>
      <c r="M63" s="4">
        <v>2865.4</v>
      </c>
      <c r="N63" s="4">
        <v>30</v>
      </c>
      <c r="O63" s="4">
        <v>10.6</v>
      </c>
      <c r="P63" s="4">
        <v>708</v>
      </c>
      <c r="Q63" s="5">
        <v>0.81</v>
      </c>
    </row>
    <row r="64" spans="1:17">
      <c r="A64" s="3">
        <v>401</v>
      </c>
      <c r="B64" s="2" t="s">
        <v>248</v>
      </c>
      <c r="C64" s="2" t="s">
        <v>78</v>
      </c>
      <c r="D64" s="2" t="s">
        <v>58</v>
      </c>
      <c r="E64" s="2" t="s">
        <v>35</v>
      </c>
      <c r="F64" s="4">
        <v>43.5</v>
      </c>
      <c r="G64" s="4">
        <v>2800</v>
      </c>
      <c r="H64" s="2" t="s">
        <v>43</v>
      </c>
      <c r="I64" s="2" t="s">
        <v>23</v>
      </c>
      <c r="J64" s="3">
        <v>210</v>
      </c>
      <c r="K64" s="5">
        <v>1.21</v>
      </c>
      <c r="L64" s="4">
        <v>40.4</v>
      </c>
      <c r="M64" s="4">
        <v>3165.1</v>
      </c>
      <c r="N64" s="4">
        <v>27.2</v>
      </c>
      <c r="O64" s="4">
        <v>13</v>
      </c>
      <c r="P64" s="4">
        <v>744</v>
      </c>
      <c r="Q64" s="5">
        <v>0.9</v>
      </c>
    </row>
    <row r="65" spans="1:17">
      <c r="A65" s="3">
        <v>290</v>
      </c>
      <c r="B65" s="2" t="s">
        <v>214</v>
      </c>
      <c r="C65" s="2" t="s">
        <v>45</v>
      </c>
      <c r="D65" s="2" t="s">
        <v>215</v>
      </c>
      <c r="E65" s="2" t="s">
        <v>35</v>
      </c>
      <c r="F65" s="4">
        <v>21.7</v>
      </c>
      <c r="G65" s="4">
        <v>3099.5</v>
      </c>
      <c r="H65" s="2" t="s">
        <v>39</v>
      </c>
      <c r="I65" s="2" t="s">
        <v>23</v>
      </c>
      <c r="J65" s="3">
        <v>210</v>
      </c>
      <c r="K65" s="5">
        <v>1.07</v>
      </c>
      <c r="L65" s="4">
        <v>40.799999999999997</v>
      </c>
      <c r="M65" s="4">
        <v>2803.8</v>
      </c>
      <c r="N65" s="4">
        <v>30.7</v>
      </c>
      <c r="O65" s="4">
        <v>11.3</v>
      </c>
      <c r="P65" s="4">
        <v>751.3</v>
      </c>
      <c r="Q65" s="5">
        <v>0.8</v>
      </c>
    </row>
    <row r="66" spans="1:17">
      <c r="A66" s="3">
        <v>351</v>
      </c>
      <c r="B66" s="2" t="s">
        <v>118</v>
      </c>
      <c r="C66" s="2" t="s">
        <v>24</v>
      </c>
      <c r="D66" s="2" t="s">
        <v>119</v>
      </c>
      <c r="E66" s="2" t="s">
        <v>35</v>
      </c>
      <c r="F66" s="4">
        <v>29.4</v>
      </c>
      <c r="G66" s="4">
        <v>3238</v>
      </c>
      <c r="H66" s="2" t="s">
        <v>39</v>
      </c>
      <c r="I66" s="2" t="s">
        <v>23</v>
      </c>
      <c r="J66" s="3">
        <v>210</v>
      </c>
      <c r="K66" s="5">
        <v>1.1299999999999999</v>
      </c>
      <c r="L66" s="4">
        <v>40.9</v>
      </c>
      <c r="M66" s="4">
        <v>2956.6</v>
      </c>
      <c r="N66" s="4">
        <v>29.1</v>
      </c>
      <c r="O66" s="4">
        <v>13.2</v>
      </c>
      <c r="P66" s="4">
        <v>752.1</v>
      </c>
      <c r="Q66" s="5">
        <v>0.85</v>
      </c>
    </row>
    <row r="67" spans="1:17">
      <c r="A67" s="3">
        <v>270</v>
      </c>
      <c r="B67" s="2" t="s">
        <v>174</v>
      </c>
      <c r="C67" s="2" t="s">
        <v>24</v>
      </c>
      <c r="D67" s="2" t="s">
        <v>142</v>
      </c>
      <c r="E67" s="2" t="s">
        <v>35</v>
      </c>
      <c r="F67" s="4">
        <v>24.4</v>
      </c>
      <c r="G67" s="4">
        <v>3277</v>
      </c>
      <c r="H67" s="2" t="s">
        <v>39</v>
      </c>
      <c r="I67" s="2" t="s">
        <v>23</v>
      </c>
      <c r="J67" s="3">
        <v>250</v>
      </c>
      <c r="K67" s="5">
        <v>1.06</v>
      </c>
      <c r="L67" s="4">
        <v>41.2</v>
      </c>
      <c r="M67" s="4">
        <v>2770.6</v>
      </c>
      <c r="N67" s="4">
        <v>31</v>
      </c>
      <c r="O67" s="4">
        <v>10.5</v>
      </c>
      <c r="P67" s="4">
        <v>901.4</v>
      </c>
      <c r="Q67" s="5">
        <v>0.95</v>
      </c>
    </row>
    <row r="68" spans="1:17">
      <c r="A68" s="3">
        <v>374</v>
      </c>
      <c r="B68" s="2" t="s">
        <v>241</v>
      </c>
      <c r="C68" s="2" t="s">
        <v>19</v>
      </c>
      <c r="D68" s="2" t="s">
        <v>242</v>
      </c>
      <c r="E68" s="2" t="s">
        <v>21</v>
      </c>
      <c r="F68" s="4">
        <v>12.6</v>
      </c>
      <c r="G68" s="4">
        <v>2643</v>
      </c>
      <c r="H68" s="2" t="s">
        <v>43</v>
      </c>
      <c r="I68" s="2" t="s">
        <v>23</v>
      </c>
      <c r="J68" s="3">
        <v>135</v>
      </c>
      <c r="K68" s="5">
        <v>1.1599999999999999</v>
      </c>
      <c r="L68" s="4">
        <v>41.3</v>
      </c>
      <c r="M68" s="4">
        <v>3060.9</v>
      </c>
      <c r="N68" s="4">
        <v>28.1</v>
      </c>
      <c r="O68" s="4">
        <v>12.4</v>
      </c>
      <c r="P68" s="4">
        <v>488.7</v>
      </c>
      <c r="Q68" s="5">
        <v>0.56999999999999995</v>
      </c>
    </row>
    <row r="69" spans="1:17">
      <c r="A69" s="3">
        <v>389</v>
      </c>
      <c r="B69" s="2" t="s">
        <v>248</v>
      </c>
      <c r="C69" s="2" t="s">
        <v>33</v>
      </c>
      <c r="D69" s="2" t="s">
        <v>58</v>
      </c>
      <c r="E69" s="2" t="s">
        <v>35</v>
      </c>
      <c r="F69" s="4">
        <v>44.1</v>
      </c>
      <c r="G69" s="4">
        <v>2842</v>
      </c>
      <c r="H69" s="2" t="s">
        <v>43</v>
      </c>
      <c r="I69" s="2" t="s">
        <v>23</v>
      </c>
      <c r="J69" s="3">
        <v>210</v>
      </c>
      <c r="K69" s="5">
        <v>1.19</v>
      </c>
      <c r="L69" s="4">
        <v>41.4</v>
      </c>
      <c r="M69" s="4">
        <v>3121.7</v>
      </c>
      <c r="N69" s="4">
        <v>27.5</v>
      </c>
      <c r="O69" s="4">
        <v>12.4</v>
      </c>
      <c r="P69" s="4">
        <v>762</v>
      </c>
      <c r="Q69" s="5">
        <v>0.91</v>
      </c>
    </row>
    <row r="70" spans="1:17">
      <c r="A70" s="3">
        <v>319</v>
      </c>
      <c r="B70" s="2" t="s">
        <v>225</v>
      </c>
      <c r="C70" s="2" t="s">
        <v>19</v>
      </c>
      <c r="D70" s="2" t="s">
        <v>226</v>
      </c>
      <c r="E70" s="2" t="s">
        <v>21</v>
      </c>
      <c r="F70" s="4">
        <v>8.4</v>
      </c>
      <c r="G70" s="4">
        <v>3722.9</v>
      </c>
      <c r="H70" s="2" t="s">
        <v>36</v>
      </c>
      <c r="I70" s="2" t="s">
        <v>23</v>
      </c>
      <c r="J70" s="3">
        <v>270</v>
      </c>
      <c r="K70" s="5">
        <v>1.0900000000000001</v>
      </c>
      <c r="L70" s="4">
        <v>41.7</v>
      </c>
      <c r="M70" s="4">
        <v>2876.7</v>
      </c>
      <c r="N70" s="4">
        <v>29.9</v>
      </c>
      <c r="O70" s="4">
        <v>9.6</v>
      </c>
      <c r="P70" s="4">
        <v>986.1</v>
      </c>
      <c r="Q70" s="5">
        <v>1.08</v>
      </c>
    </row>
    <row r="71" spans="1:17">
      <c r="A71" s="3">
        <v>265</v>
      </c>
      <c r="B71" s="2" t="s">
        <v>192</v>
      </c>
      <c r="C71" s="2" t="s">
        <v>63</v>
      </c>
      <c r="D71" s="2" t="s">
        <v>52</v>
      </c>
      <c r="E71" s="2" t="s">
        <v>35</v>
      </c>
      <c r="F71" s="4">
        <v>12.2</v>
      </c>
      <c r="G71" s="4">
        <v>3483</v>
      </c>
      <c r="H71" s="2" t="s">
        <v>39</v>
      </c>
      <c r="I71" s="2" t="s">
        <v>23</v>
      </c>
      <c r="J71" s="3">
        <v>250</v>
      </c>
      <c r="K71" s="5">
        <v>1.05</v>
      </c>
      <c r="L71" s="4">
        <v>41.8</v>
      </c>
      <c r="M71" s="4">
        <v>2771.2</v>
      </c>
      <c r="N71" s="4">
        <v>31</v>
      </c>
      <c r="O71" s="4">
        <v>9.6999999999999993</v>
      </c>
      <c r="P71" s="4">
        <v>915</v>
      </c>
      <c r="Q71" s="5">
        <v>0.96</v>
      </c>
    </row>
    <row r="72" spans="1:17">
      <c r="A72" s="3">
        <v>295</v>
      </c>
      <c r="B72" s="2" t="s">
        <v>214</v>
      </c>
      <c r="C72" s="2" t="s">
        <v>51</v>
      </c>
      <c r="D72" s="2" t="s">
        <v>215</v>
      </c>
      <c r="E72" s="2" t="s">
        <v>35</v>
      </c>
      <c r="F72" s="4">
        <v>25</v>
      </c>
      <c r="G72" s="4">
        <v>3115.3</v>
      </c>
      <c r="H72" s="2" t="s">
        <v>39</v>
      </c>
      <c r="I72" s="2" t="s">
        <v>23</v>
      </c>
      <c r="J72" s="3">
        <v>210</v>
      </c>
      <c r="K72" s="5">
        <v>1.07</v>
      </c>
      <c r="L72" s="4">
        <v>41.8</v>
      </c>
      <c r="M72" s="4">
        <v>2810.4</v>
      </c>
      <c r="N72" s="4">
        <v>30.6</v>
      </c>
      <c r="O72" s="4">
        <v>11.3</v>
      </c>
      <c r="P72" s="4">
        <v>769</v>
      </c>
      <c r="Q72" s="5">
        <v>0.83</v>
      </c>
    </row>
    <row r="73" spans="1:17">
      <c r="A73" s="3">
        <v>301</v>
      </c>
      <c r="B73" s="2" t="s">
        <v>219</v>
      </c>
      <c r="C73" s="2" t="s">
        <v>24</v>
      </c>
      <c r="D73" s="2" t="s">
        <v>220</v>
      </c>
      <c r="E73" s="2" t="s">
        <v>35</v>
      </c>
      <c r="F73" s="4">
        <v>8.4</v>
      </c>
      <c r="G73" s="4">
        <v>3472</v>
      </c>
      <c r="H73" s="2" t="s">
        <v>39</v>
      </c>
      <c r="I73" s="2" t="s">
        <v>23</v>
      </c>
      <c r="J73" s="3">
        <v>500</v>
      </c>
      <c r="K73" s="5">
        <v>1.08</v>
      </c>
      <c r="L73" s="4">
        <v>42</v>
      </c>
      <c r="M73" s="4">
        <v>2835.7</v>
      </c>
      <c r="N73" s="4">
        <v>30.3</v>
      </c>
      <c r="O73" s="4">
        <v>6.6</v>
      </c>
      <c r="P73" s="4">
        <v>1839</v>
      </c>
      <c r="Q73" s="5">
        <v>1.98</v>
      </c>
    </row>
    <row r="74" spans="1:17">
      <c r="A74" s="3">
        <v>402</v>
      </c>
      <c r="B74" s="2" t="s">
        <v>251</v>
      </c>
      <c r="C74" s="2" t="s">
        <v>19</v>
      </c>
      <c r="D74" s="2" t="s">
        <v>252</v>
      </c>
      <c r="E74" s="2" t="s">
        <v>21</v>
      </c>
      <c r="F74" s="4">
        <v>12.6</v>
      </c>
      <c r="G74" s="4">
        <v>3475</v>
      </c>
      <c r="H74" s="2" t="s">
        <v>39</v>
      </c>
      <c r="I74" s="2" t="s">
        <v>23</v>
      </c>
      <c r="J74" s="3">
        <v>45</v>
      </c>
      <c r="K74" s="5">
        <v>1.21</v>
      </c>
      <c r="L74" s="4">
        <v>42.1</v>
      </c>
      <c r="M74" s="4">
        <v>3185.8</v>
      </c>
      <c r="N74" s="4">
        <v>27</v>
      </c>
      <c r="O74" s="4">
        <v>9.3000000000000007</v>
      </c>
      <c r="P74" s="4">
        <v>166.1</v>
      </c>
      <c r="Q74" s="5">
        <v>0.2</v>
      </c>
    </row>
    <row r="75" spans="1:17">
      <c r="A75" s="3">
        <v>377</v>
      </c>
      <c r="B75" s="2" t="s">
        <v>244</v>
      </c>
      <c r="C75" s="2" t="s">
        <v>24</v>
      </c>
      <c r="D75" s="2" t="s">
        <v>215</v>
      </c>
      <c r="E75" s="2" t="s">
        <v>35</v>
      </c>
      <c r="F75" s="4">
        <v>12.4</v>
      </c>
      <c r="G75" s="4">
        <v>3676.7</v>
      </c>
      <c r="H75" s="2" t="s">
        <v>36</v>
      </c>
      <c r="I75" s="2" t="s">
        <v>23</v>
      </c>
      <c r="J75" s="3">
        <v>500</v>
      </c>
      <c r="K75" s="5">
        <v>1.17</v>
      </c>
      <c r="L75" s="4">
        <v>42.4</v>
      </c>
      <c r="M75" s="4">
        <v>3078.9</v>
      </c>
      <c r="N75" s="4">
        <v>27.9</v>
      </c>
      <c r="O75" s="4">
        <v>7.2</v>
      </c>
      <c r="P75" s="4">
        <v>1856</v>
      </c>
      <c r="Q75" s="5">
        <v>2.17</v>
      </c>
    </row>
    <row r="76" spans="1:17">
      <c r="A76" s="3">
        <v>407</v>
      </c>
      <c r="B76" s="2" t="s">
        <v>254</v>
      </c>
      <c r="C76" s="2" t="s">
        <v>19</v>
      </c>
      <c r="D76" s="2" t="s">
        <v>34</v>
      </c>
      <c r="E76" s="2" t="s">
        <v>35</v>
      </c>
      <c r="F76" s="4">
        <v>54.2</v>
      </c>
      <c r="G76" s="4">
        <v>3664</v>
      </c>
      <c r="H76" s="2" t="s">
        <v>36</v>
      </c>
      <c r="I76" s="2" t="s">
        <v>23</v>
      </c>
      <c r="J76" s="3">
        <v>62.5</v>
      </c>
      <c r="K76" s="5">
        <v>1.21</v>
      </c>
      <c r="L76" s="4">
        <v>42.4</v>
      </c>
      <c r="M76" s="4">
        <v>3168.4</v>
      </c>
      <c r="N76" s="4">
        <v>27.1</v>
      </c>
      <c r="O76" s="4">
        <v>14.4</v>
      </c>
      <c r="P76" s="4">
        <v>232.2</v>
      </c>
      <c r="Q76" s="5">
        <v>0.28000000000000003</v>
      </c>
    </row>
    <row r="77" spans="1:17">
      <c r="A77" s="3">
        <v>371</v>
      </c>
      <c r="B77" s="2" t="s">
        <v>241</v>
      </c>
      <c r="C77" s="2" t="s">
        <v>24</v>
      </c>
      <c r="D77" s="2" t="s">
        <v>242</v>
      </c>
      <c r="E77" s="2" t="s">
        <v>21</v>
      </c>
      <c r="F77" s="4">
        <v>12.1</v>
      </c>
      <c r="G77" s="4">
        <v>2643</v>
      </c>
      <c r="H77" s="2" t="s">
        <v>43</v>
      </c>
      <c r="I77" s="2" t="s">
        <v>23</v>
      </c>
      <c r="J77" s="3">
        <v>135</v>
      </c>
      <c r="K77" s="5">
        <v>1.1599999999999999</v>
      </c>
      <c r="L77" s="4">
        <v>43.4</v>
      </c>
      <c r="M77" s="4">
        <v>3043.1</v>
      </c>
      <c r="N77" s="4">
        <v>28.3</v>
      </c>
      <c r="O77" s="4">
        <v>11.9</v>
      </c>
      <c r="P77" s="4">
        <v>512.70000000000005</v>
      </c>
      <c r="Q77" s="5">
        <v>0.59</v>
      </c>
    </row>
    <row r="78" spans="1:17">
      <c r="A78" s="3">
        <v>120</v>
      </c>
      <c r="B78" s="2" t="s">
        <v>115</v>
      </c>
      <c r="C78" s="2" t="s">
        <v>19</v>
      </c>
      <c r="D78" s="2" t="s">
        <v>116</v>
      </c>
      <c r="E78" s="2" t="s">
        <v>47</v>
      </c>
      <c r="F78" s="4">
        <v>10</v>
      </c>
      <c r="G78" s="4">
        <v>3651.6</v>
      </c>
      <c r="H78" s="2" t="s">
        <v>36</v>
      </c>
      <c r="I78" s="2" t="s">
        <v>23</v>
      </c>
      <c r="J78" s="3">
        <v>600</v>
      </c>
      <c r="K78" s="5">
        <v>0.98</v>
      </c>
      <c r="L78" s="4">
        <v>43.6</v>
      </c>
      <c r="M78" s="4">
        <v>2575.6</v>
      </c>
      <c r="N78" s="4">
        <v>33.4</v>
      </c>
      <c r="O78" s="4">
        <v>6.8</v>
      </c>
      <c r="P78" s="4">
        <v>2293</v>
      </c>
      <c r="Q78" s="5">
        <v>2.2400000000000002</v>
      </c>
    </row>
    <row r="79" spans="1:17">
      <c r="A79" s="3">
        <v>412</v>
      </c>
      <c r="B79" s="2" t="s">
        <v>258</v>
      </c>
      <c r="C79" s="2" t="s">
        <v>41</v>
      </c>
      <c r="D79" s="2" t="s">
        <v>234</v>
      </c>
      <c r="E79" s="2" t="s">
        <v>35</v>
      </c>
      <c r="F79" s="4">
        <v>36.4</v>
      </c>
      <c r="G79" s="4">
        <v>3867.4</v>
      </c>
      <c r="H79" s="2" t="s">
        <v>36</v>
      </c>
      <c r="I79" s="2" t="s">
        <v>23</v>
      </c>
      <c r="J79" s="3">
        <v>210</v>
      </c>
      <c r="K79" s="5">
        <v>1.22</v>
      </c>
      <c r="L79" s="4">
        <v>43.6</v>
      </c>
      <c r="M79" s="4">
        <v>3192.2</v>
      </c>
      <c r="N79" s="4">
        <v>26.9</v>
      </c>
      <c r="O79" s="4">
        <v>9.6</v>
      </c>
      <c r="P79" s="4">
        <v>801.4</v>
      </c>
      <c r="Q79" s="5">
        <v>0.98</v>
      </c>
    </row>
    <row r="80" spans="1:17">
      <c r="A80" s="3">
        <v>329</v>
      </c>
      <c r="B80" s="2" t="s">
        <v>123</v>
      </c>
      <c r="C80" s="2" t="s">
        <v>19</v>
      </c>
      <c r="D80" s="2" t="s">
        <v>46</v>
      </c>
      <c r="E80" s="2" t="s">
        <v>47</v>
      </c>
      <c r="F80" s="4">
        <v>35.700000000000003</v>
      </c>
      <c r="G80" s="4">
        <v>3796.4</v>
      </c>
      <c r="H80" s="2" t="s">
        <v>36</v>
      </c>
      <c r="I80" s="2" t="s">
        <v>23</v>
      </c>
      <c r="J80" s="3">
        <v>210</v>
      </c>
      <c r="K80" s="5">
        <v>1.1000000000000001</v>
      </c>
      <c r="L80" s="4">
        <v>43.7</v>
      </c>
      <c r="M80" s="4">
        <v>2912.6</v>
      </c>
      <c r="N80" s="4">
        <v>29.5</v>
      </c>
      <c r="O80" s="4">
        <v>10.4</v>
      </c>
      <c r="P80" s="4">
        <v>803.8</v>
      </c>
      <c r="Q80" s="5">
        <v>0.88</v>
      </c>
    </row>
    <row r="81" spans="1:17">
      <c r="A81" s="3">
        <v>273</v>
      </c>
      <c r="B81" s="2" t="s">
        <v>203</v>
      </c>
      <c r="C81" s="2" t="s">
        <v>19</v>
      </c>
      <c r="D81" s="2" t="s">
        <v>204</v>
      </c>
      <c r="E81" s="2" t="s">
        <v>21</v>
      </c>
      <c r="F81" s="4">
        <v>14.3</v>
      </c>
      <c r="G81" s="4">
        <v>3710.2</v>
      </c>
      <c r="H81" s="2" t="s">
        <v>36</v>
      </c>
      <c r="I81" s="2" t="s">
        <v>23</v>
      </c>
      <c r="J81" s="3">
        <v>135</v>
      </c>
      <c r="K81" s="5">
        <v>1.06</v>
      </c>
      <c r="L81" s="4">
        <v>44</v>
      </c>
      <c r="M81" s="4">
        <v>2787.8</v>
      </c>
      <c r="N81" s="4">
        <v>30.8</v>
      </c>
      <c r="O81" s="4">
        <v>10.1</v>
      </c>
      <c r="P81" s="4">
        <v>520.4</v>
      </c>
      <c r="Q81" s="5">
        <v>0.55000000000000004</v>
      </c>
    </row>
    <row r="82" spans="1:17">
      <c r="A82" s="3">
        <v>245</v>
      </c>
      <c r="B82" s="2" t="s">
        <v>53</v>
      </c>
      <c r="C82" s="2" t="s">
        <v>24</v>
      </c>
      <c r="D82" s="2" t="s">
        <v>46</v>
      </c>
      <c r="E82" s="2" t="s">
        <v>47</v>
      </c>
      <c r="F82" s="4">
        <v>40.200000000000003</v>
      </c>
      <c r="G82" s="4">
        <v>3540.8</v>
      </c>
      <c r="H82" s="2" t="s">
        <v>36</v>
      </c>
      <c r="I82" s="2" t="s">
        <v>23</v>
      </c>
      <c r="J82" s="3">
        <v>200</v>
      </c>
      <c r="K82" s="5">
        <v>1.04</v>
      </c>
      <c r="L82" s="4">
        <v>44.4</v>
      </c>
      <c r="M82" s="4">
        <v>2720.8</v>
      </c>
      <c r="N82" s="4">
        <v>31.6</v>
      </c>
      <c r="O82" s="4">
        <v>11.2</v>
      </c>
      <c r="P82" s="4">
        <v>778.6</v>
      </c>
      <c r="Q82" s="5">
        <v>0.81</v>
      </c>
    </row>
    <row r="83" spans="1:17">
      <c r="A83" s="3">
        <v>387</v>
      </c>
      <c r="B83" s="2" t="s">
        <v>161</v>
      </c>
      <c r="C83" s="2" t="s">
        <v>78</v>
      </c>
      <c r="D83" s="2" t="s">
        <v>162</v>
      </c>
      <c r="E83" s="2" t="s">
        <v>35</v>
      </c>
      <c r="F83" s="4">
        <v>39.5</v>
      </c>
      <c r="G83" s="4">
        <v>3549</v>
      </c>
      <c r="H83" s="2" t="s">
        <v>36</v>
      </c>
      <c r="I83" s="2" t="s">
        <v>23</v>
      </c>
      <c r="J83" s="3">
        <v>210</v>
      </c>
      <c r="K83" s="5">
        <v>1.18</v>
      </c>
      <c r="L83" s="4">
        <v>44.4</v>
      </c>
      <c r="M83" s="4">
        <v>3013.2</v>
      </c>
      <c r="N83" s="4">
        <v>28.5</v>
      </c>
      <c r="O83" s="4">
        <v>10.8</v>
      </c>
      <c r="P83" s="4">
        <v>816</v>
      </c>
      <c r="Q83" s="5">
        <v>0.97</v>
      </c>
    </row>
    <row r="84" spans="1:17">
      <c r="A84" s="3">
        <v>415</v>
      </c>
      <c r="B84" s="2" t="s">
        <v>258</v>
      </c>
      <c r="C84" s="2" t="s">
        <v>33</v>
      </c>
      <c r="D84" s="2" t="s">
        <v>234</v>
      </c>
      <c r="E84" s="2" t="s">
        <v>35</v>
      </c>
      <c r="F84" s="4">
        <v>35.5</v>
      </c>
      <c r="G84" s="4">
        <v>3867.4</v>
      </c>
      <c r="H84" s="2" t="s">
        <v>36</v>
      </c>
      <c r="I84" s="2" t="s">
        <v>23</v>
      </c>
      <c r="J84" s="3">
        <v>210</v>
      </c>
      <c r="K84" s="5">
        <v>1.22</v>
      </c>
      <c r="L84" s="4">
        <v>44.6</v>
      </c>
      <c r="M84" s="4">
        <v>3192.3</v>
      </c>
      <c r="N84" s="4">
        <v>26.9</v>
      </c>
      <c r="O84" s="4">
        <v>9.6</v>
      </c>
      <c r="P84" s="4">
        <v>820.7</v>
      </c>
      <c r="Q84" s="5">
        <v>1</v>
      </c>
    </row>
    <row r="85" spans="1:17">
      <c r="A85" s="3">
        <v>216</v>
      </c>
      <c r="B85" s="2" t="s">
        <v>176</v>
      </c>
      <c r="C85" s="2" t="s">
        <v>24</v>
      </c>
      <c r="D85" s="2" t="s">
        <v>177</v>
      </c>
      <c r="E85" s="2" t="s">
        <v>21</v>
      </c>
      <c r="F85" s="4">
        <v>8.5</v>
      </c>
      <c r="G85" s="4">
        <v>3044</v>
      </c>
      <c r="H85" s="2" t="s">
        <v>39</v>
      </c>
      <c r="I85" s="2" t="s">
        <v>23</v>
      </c>
      <c r="J85" s="3">
        <v>360</v>
      </c>
      <c r="K85" s="5">
        <v>1.02</v>
      </c>
      <c r="L85" s="4">
        <v>44.7</v>
      </c>
      <c r="M85" s="4">
        <v>2691.4</v>
      </c>
      <c r="N85" s="4">
        <v>31.9</v>
      </c>
      <c r="O85" s="4">
        <v>10.1</v>
      </c>
      <c r="P85" s="4">
        <v>1408.4</v>
      </c>
      <c r="Q85" s="5">
        <v>1.44</v>
      </c>
    </row>
    <row r="86" spans="1:17">
      <c r="A86" s="3">
        <v>343</v>
      </c>
      <c r="B86" s="2" t="s">
        <v>212</v>
      </c>
      <c r="C86" s="2" t="s">
        <v>57</v>
      </c>
      <c r="D86" s="2" t="s">
        <v>58</v>
      </c>
      <c r="E86" s="2" t="s">
        <v>35</v>
      </c>
      <c r="F86" s="4">
        <v>8.4</v>
      </c>
      <c r="G86" s="4">
        <v>3228</v>
      </c>
      <c r="H86" s="2" t="s">
        <v>39</v>
      </c>
      <c r="I86" s="2" t="s">
        <v>23</v>
      </c>
      <c r="J86" s="3">
        <v>250</v>
      </c>
      <c r="K86" s="5">
        <v>1.1100000000000001</v>
      </c>
      <c r="L86" s="4">
        <v>44.7</v>
      </c>
      <c r="M86" s="4">
        <v>2878.5</v>
      </c>
      <c r="N86" s="4">
        <v>29.9</v>
      </c>
      <c r="O86" s="4">
        <v>13.6</v>
      </c>
      <c r="P86" s="4">
        <v>979</v>
      </c>
      <c r="Q86" s="5">
        <v>1.0900000000000001</v>
      </c>
    </row>
    <row r="87" spans="1:17">
      <c r="A87" s="3">
        <v>297</v>
      </c>
      <c r="B87" s="2" t="s">
        <v>214</v>
      </c>
      <c r="C87" s="2" t="s">
        <v>78</v>
      </c>
      <c r="D87" s="2" t="s">
        <v>215</v>
      </c>
      <c r="E87" s="2" t="s">
        <v>35</v>
      </c>
      <c r="F87" s="4">
        <v>25.5</v>
      </c>
      <c r="G87" s="4">
        <v>3122.8</v>
      </c>
      <c r="H87" s="2" t="s">
        <v>39</v>
      </c>
      <c r="I87" s="2" t="s">
        <v>23</v>
      </c>
      <c r="J87" s="3">
        <v>210</v>
      </c>
      <c r="K87" s="5">
        <v>1.08</v>
      </c>
      <c r="L87" s="4">
        <v>44.9</v>
      </c>
      <c r="M87" s="4">
        <v>2803.5</v>
      </c>
      <c r="N87" s="4">
        <v>30.7</v>
      </c>
      <c r="O87" s="4">
        <v>11.3</v>
      </c>
      <c r="P87" s="4">
        <v>825.7</v>
      </c>
      <c r="Q87" s="5">
        <v>0.89</v>
      </c>
    </row>
    <row r="88" spans="1:17">
      <c r="A88" s="3">
        <v>422</v>
      </c>
      <c r="B88" s="2" t="s">
        <v>244</v>
      </c>
      <c r="C88" s="2" t="s">
        <v>19</v>
      </c>
      <c r="D88" s="2" t="s">
        <v>215</v>
      </c>
      <c r="E88" s="2" t="s">
        <v>35</v>
      </c>
      <c r="F88" s="4">
        <v>16.7</v>
      </c>
      <c r="G88" s="4">
        <v>3651.5</v>
      </c>
      <c r="H88" s="2" t="s">
        <v>36</v>
      </c>
      <c r="I88" s="2" t="s">
        <v>23</v>
      </c>
      <c r="J88" s="3">
        <v>500</v>
      </c>
      <c r="K88" s="5">
        <v>1.24</v>
      </c>
      <c r="L88" s="4">
        <v>45.2</v>
      </c>
      <c r="M88" s="4">
        <v>3251.7</v>
      </c>
      <c r="N88" s="4">
        <v>26.4</v>
      </c>
      <c r="O88" s="4">
        <v>8</v>
      </c>
      <c r="P88" s="4">
        <v>1980</v>
      </c>
      <c r="Q88" s="5">
        <v>2.4500000000000002</v>
      </c>
    </row>
    <row r="89" spans="1:17">
      <c r="A89" s="3">
        <v>160</v>
      </c>
      <c r="B89" s="2" t="s">
        <v>50</v>
      </c>
      <c r="C89" s="2" t="s">
        <v>33</v>
      </c>
      <c r="D89" s="2" t="s">
        <v>52</v>
      </c>
      <c r="E89" s="2" t="s">
        <v>35</v>
      </c>
      <c r="F89" s="4">
        <v>30.6</v>
      </c>
      <c r="G89" s="4">
        <v>3611</v>
      </c>
      <c r="H89" s="2" t="s">
        <v>36</v>
      </c>
      <c r="I89" s="2" t="s">
        <v>23</v>
      </c>
      <c r="J89" s="3">
        <v>500</v>
      </c>
      <c r="K89" s="5">
        <v>0.99</v>
      </c>
      <c r="L89" s="4">
        <v>45.3</v>
      </c>
      <c r="M89" s="4">
        <v>2605.1</v>
      </c>
      <c r="N89" s="4">
        <v>33</v>
      </c>
      <c r="O89" s="4">
        <v>8.5</v>
      </c>
      <c r="P89" s="4">
        <v>1984.3</v>
      </c>
      <c r="Q89" s="5">
        <v>1.96</v>
      </c>
    </row>
    <row r="90" spans="1:17">
      <c r="A90" s="3">
        <v>300</v>
      </c>
      <c r="B90" s="2" t="s">
        <v>214</v>
      </c>
      <c r="C90" s="2" t="s">
        <v>33</v>
      </c>
      <c r="D90" s="2" t="s">
        <v>215</v>
      </c>
      <c r="E90" s="2" t="s">
        <v>35</v>
      </c>
      <c r="F90" s="4">
        <v>29.9</v>
      </c>
      <c r="G90" s="4">
        <v>3126.7</v>
      </c>
      <c r="H90" s="2" t="s">
        <v>39</v>
      </c>
      <c r="I90" s="2" t="s">
        <v>23</v>
      </c>
      <c r="J90" s="3">
        <v>210</v>
      </c>
      <c r="K90" s="5">
        <v>1.08</v>
      </c>
      <c r="L90" s="4">
        <v>45.3</v>
      </c>
      <c r="M90" s="4">
        <v>2806.9</v>
      </c>
      <c r="N90" s="4">
        <v>30.6</v>
      </c>
      <c r="O90" s="4">
        <v>11.3</v>
      </c>
      <c r="P90" s="4">
        <v>834.2</v>
      </c>
      <c r="Q90" s="5">
        <v>0.9</v>
      </c>
    </row>
    <row r="91" spans="1:17">
      <c r="A91" s="3">
        <v>446</v>
      </c>
      <c r="B91" s="2" t="s">
        <v>270</v>
      </c>
      <c r="C91" s="2" t="s">
        <v>24</v>
      </c>
      <c r="D91" s="2" t="s">
        <v>247</v>
      </c>
      <c r="E91" s="2" t="s">
        <v>47</v>
      </c>
      <c r="F91" s="4">
        <v>37.5</v>
      </c>
      <c r="G91" s="4">
        <v>2556</v>
      </c>
      <c r="H91" s="2" t="s">
        <v>43</v>
      </c>
      <c r="I91" s="2" t="s">
        <v>238</v>
      </c>
      <c r="J91" s="3">
        <v>210</v>
      </c>
      <c r="K91" s="5">
        <v>1.45</v>
      </c>
      <c r="L91" s="4">
        <v>45.5</v>
      </c>
      <c r="M91" s="4">
        <v>3442.5</v>
      </c>
      <c r="N91" s="4">
        <v>25</v>
      </c>
      <c r="O91" s="4">
        <v>11.1</v>
      </c>
      <c r="P91" s="4">
        <v>836.6</v>
      </c>
      <c r="Q91" s="5">
        <v>1.22</v>
      </c>
    </row>
    <row r="92" spans="1:17">
      <c r="A92" s="3">
        <v>353</v>
      </c>
      <c r="B92" s="2" t="s">
        <v>56</v>
      </c>
      <c r="C92" s="2" t="s">
        <v>78</v>
      </c>
      <c r="D92" s="2" t="s">
        <v>58</v>
      </c>
      <c r="E92" s="2" t="s">
        <v>35</v>
      </c>
      <c r="F92" s="4">
        <v>33.4</v>
      </c>
      <c r="G92" s="4">
        <v>3033.6</v>
      </c>
      <c r="H92" s="2" t="s">
        <v>39</v>
      </c>
      <c r="I92" s="2" t="s">
        <v>23</v>
      </c>
      <c r="J92" s="3">
        <v>500</v>
      </c>
      <c r="K92" s="5">
        <v>1.1299999999999999</v>
      </c>
      <c r="L92" s="4">
        <v>45.7</v>
      </c>
      <c r="M92" s="4">
        <v>2982.5</v>
      </c>
      <c r="N92" s="4">
        <v>28.8</v>
      </c>
      <c r="O92" s="4">
        <v>11.4</v>
      </c>
      <c r="P92" s="4">
        <v>2002.9</v>
      </c>
      <c r="Q92" s="5">
        <v>2.27</v>
      </c>
    </row>
    <row r="93" spans="1:17">
      <c r="A93" s="3">
        <v>315</v>
      </c>
      <c r="B93" s="2" t="s">
        <v>223</v>
      </c>
      <c r="C93" s="2" t="s">
        <v>41</v>
      </c>
      <c r="D93" s="2" t="s">
        <v>162</v>
      </c>
      <c r="E93" s="2" t="s">
        <v>35</v>
      </c>
      <c r="F93" s="4">
        <v>40.4</v>
      </c>
      <c r="G93" s="4">
        <v>3630.4</v>
      </c>
      <c r="H93" s="2" t="s">
        <v>36</v>
      </c>
      <c r="I93" s="2" t="s">
        <v>23</v>
      </c>
      <c r="J93" s="3">
        <v>210</v>
      </c>
      <c r="K93" s="5">
        <v>1.0900000000000001</v>
      </c>
      <c r="L93" s="4">
        <v>46</v>
      </c>
      <c r="M93" s="4">
        <v>2747.9</v>
      </c>
      <c r="N93" s="4">
        <v>31.3</v>
      </c>
      <c r="O93" s="4">
        <v>9.8000000000000007</v>
      </c>
      <c r="P93" s="4">
        <v>847</v>
      </c>
      <c r="Q93" s="5">
        <v>0.92</v>
      </c>
    </row>
    <row r="94" spans="1:17">
      <c r="A94" s="3">
        <v>437</v>
      </c>
      <c r="B94" s="2" t="s">
        <v>229</v>
      </c>
      <c r="C94" s="2" t="s">
        <v>19</v>
      </c>
      <c r="D94" s="2" t="s">
        <v>58</v>
      </c>
      <c r="E94" s="2" t="s">
        <v>35</v>
      </c>
      <c r="F94" s="4">
        <v>35.4</v>
      </c>
      <c r="G94" s="4">
        <v>3382.5</v>
      </c>
      <c r="H94" s="2" t="s">
        <v>39</v>
      </c>
      <c r="I94" s="2" t="s">
        <v>23</v>
      </c>
      <c r="J94" s="3">
        <v>210</v>
      </c>
      <c r="K94" s="5">
        <v>1.35</v>
      </c>
      <c r="L94" s="4">
        <v>46.2</v>
      </c>
      <c r="M94" s="4">
        <v>3513.8</v>
      </c>
      <c r="N94" s="4">
        <v>24.5</v>
      </c>
      <c r="O94" s="4">
        <v>12.4</v>
      </c>
      <c r="P94" s="4">
        <v>850</v>
      </c>
      <c r="Q94" s="5">
        <v>1.1499999999999999</v>
      </c>
    </row>
    <row r="95" spans="1:17">
      <c r="A95" s="3">
        <v>294</v>
      </c>
      <c r="B95" s="2" t="s">
        <v>214</v>
      </c>
      <c r="C95" s="2" t="s">
        <v>57</v>
      </c>
      <c r="D95" s="2" t="s">
        <v>215</v>
      </c>
      <c r="E95" s="2" t="s">
        <v>35</v>
      </c>
      <c r="F95" s="4">
        <v>14.1</v>
      </c>
      <c r="G95" s="4">
        <v>2942.8</v>
      </c>
      <c r="H95" s="2" t="s">
        <v>43</v>
      </c>
      <c r="I95" s="2" t="s">
        <v>23</v>
      </c>
      <c r="J95" s="3">
        <v>250</v>
      </c>
      <c r="K95" s="5">
        <v>1.07</v>
      </c>
      <c r="L95" s="4">
        <v>46.3</v>
      </c>
      <c r="M95" s="4">
        <v>2805</v>
      </c>
      <c r="N95" s="4">
        <v>30.7</v>
      </c>
      <c r="O95" s="4">
        <v>11.3</v>
      </c>
      <c r="P95" s="4">
        <v>1013.6</v>
      </c>
      <c r="Q95" s="5">
        <v>1.0900000000000001</v>
      </c>
    </row>
    <row r="96" spans="1:17">
      <c r="A96" s="3">
        <v>454</v>
      </c>
      <c r="B96" s="2" t="s">
        <v>276</v>
      </c>
      <c r="C96" s="2" t="s">
        <v>41</v>
      </c>
      <c r="D96" s="2" t="s">
        <v>162</v>
      </c>
      <c r="E96" s="2" t="s">
        <v>35</v>
      </c>
      <c r="F96" s="4">
        <v>27.3</v>
      </c>
      <c r="G96" s="4">
        <v>2247</v>
      </c>
      <c r="H96" s="2" t="s">
        <v>43</v>
      </c>
      <c r="I96" s="2" t="s">
        <v>238</v>
      </c>
      <c r="J96" s="3">
        <v>75</v>
      </c>
      <c r="K96" s="5">
        <v>1.75</v>
      </c>
      <c r="L96" s="4">
        <v>47</v>
      </c>
      <c r="M96" s="4">
        <v>4035.9</v>
      </c>
      <c r="N96" s="4">
        <v>21.3</v>
      </c>
      <c r="O96" s="4">
        <v>14.2</v>
      </c>
      <c r="P96" s="4">
        <v>309</v>
      </c>
      <c r="Q96" s="5">
        <v>0.54</v>
      </c>
    </row>
    <row r="97" spans="1:17">
      <c r="A97" s="3">
        <v>379</v>
      </c>
      <c r="B97" s="2" t="s">
        <v>243</v>
      </c>
      <c r="C97" s="2" t="s">
        <v>24</v>
      </c>
      <c r="D97" s="2" t="s">
        <v>49</v>
      </c>
      <c r="E97" s="2" t="s">
        <v>21</v>
      </c>
      <c r="F97" s="4">
        <v>33.299999999999997</v>
      </c>
      <c r="G97" s="4">
        <v>4677</v>
      </c>
      <c r="H97" s="2" t="s">
        <v>99</v>
      </c>
      <c r="I97" s="2" t="s">
        <v>23</v>
      </c>
      <c r="J97" s="3">
        <v>67.5</v>
      </c>
      <c r="K97" s="5">
        <v>1.17</v>
      </c>
      <c r="L97" s="4">
        <v>47.3</v>
      </c>
      <c r="M97" s="4">
        <v>3078.6</v>
      </c>
      <c r="N97" s="4">
        <v>27.9</v>
      </c>
      <c r="O97" s="4">
        <v>8.5</v>
      </c>
      <c r="P97" s="4">
        <v>279.8</v>
      </c>
      <c r="Q97" s="5">
        <v>0.33</v>
      </c>
    </row>
    <row r="98" spans="1:17">
      <c r="A98" s="3">
        <v>129</v>
      </c>
      <c r="B98" s="2" t="s">
        <v>129</v>
      </c>
      <c r="C98" s="2" t="s">
        <v>24</v>
      </c>
      <c r="D98" s="2" t="s">
        <v>130</v>
      </c>
      <c r="E98" s="2" t="s">
        <v>21</v>
      </c>
      <c r="F98" s="4">
        <v>8.4</v>
      </c>
      <c r="G98" s="4">
        <v>3010</v>
      </c>
      <c r="H98" s="2" t="s">
        <v>39</v>
      </c>
      <c r="I98" s="2" t="s">
        <v>23</v>
      </c>
      <c r="J98" s="3">
        <v>520</v>
      </c>
      <c r="K98" s="5">
        <v>0.98</v>
      </c>
      <c r="L98" s="4">
        <v>47.4</v>
      </c>
      <c r="M98" s="4">
        <v>2579.1</v>
      </c>
      <c r="N98" s="4">
        <v>33.299999999999997</v>
      </c>
      <c r="O98" s="4">
        <v>6.2</v>
      </c>
      <c r="P98" s="4">
        <v>2158.5</v>
      </c>
      <c r="Q98" s="5">
        <v>2.11</v>
      </c>
    </row>
    <row r="99" spans="1:17">
      <c r="A99" s="3">
        <v>428</v>
      </c>
      <c r="B99" s="2" t="s">
        <v>266</v>
      </c>
      <c r="C99" s="2" t="s">
        <v>19</v>
      </c>
      <c r="D99" s="2" t="s">
        <v>247</v>
      </c>
      <c r="E99" s="2" t="s">
        <v>47</v>
      </c>
      <c r="F99" s="4">
        <v>12.5</v>
      </c>
      <c r="G99" s="4">
        <v>2587</v>
      </c>
      <c r="H99" s="2" t="s">
        <v>43</v>
      </c>
      <c r="I99" s="2" t="s">
        <v>238</v>
      </c>
      <c r="J99" s="3">
        <v>250</v>
      </c>
      <c r="K99" s="5">
        <v>1.27</v>
      </c>
      <c r="L99" s="4">
        <v>47.5</v>
      </c>
      <c r="M99" s="4">
        <v>2995.2</v>
      </c>
      <c r="N99" s="4">
        <v>28.7</v>
      </c>
      <c r="O99" s="4">
        <v>15</v>
      </c>
      <c r="P99" s="4">
        <v>1041</v>
      </c>
      <c r="Q99" s="5">
        <v>1.32</v>
      </c>
    </row>
    <row r="100" spans="1:17">
      <c r="A100" s="3">
        <v>364</v>
      </c>
      <c r="B100" s="2" t="s">
        <v>56</v>
      </c>
      <c r="C100" s="2" t="s">
        <v>33</v>
      </c>
      <c r="D100" s="2" t="s">
        <v>58</v>
      </c>
      <c r="E100" s="2" t="s">
        <v>35</v>
      </c>
      <c r="F100" s="4">
        <v>38.4</v>
      </c>
      <c r="G100" s="4">
        <v>3069.9</v>
      </c>
      <c r="H100" s="2" t="s">
        <v>39</v>
      </c>
      <c r="I100" s="2" t="s">
        <v>23</v>
      </c>
      <c r="J100" s="3">
        <v>210</v>
      </c>
      <c r="K100" s="5">
        <v>1.1399999999999999</v>
      </c>
      <c r="L100" s="4">
        <v>47.8</v>
      </c>
      <c r="M100" s="4">
        <v>2989.8</v>
      </c>
      <c r="N100" s="4">
        <v>28.8</v>
      </c>
      <c r="O100" s="4">
        <v>11.2</v>
      </c>
      <c r="P100" s="4">
        <v>880.1</v>
      </c>
      <c r="Q100" s="5">
        <v>1.01</v>
      </c>
    </row>
    <row r="101" spans="1:17">
      <c r="A101" s="3">
        <v>235</v>
      </c>
      <c r="B101" s="2" t="s">
        <v>183</v>
      </c>
      <c r="C101" s="2" t="s">
        <v>41</v>
      </c>
      <c r="D101" s="2" t="s">
        <v>34</v>
      </c>
      <c r="E101" s="2" t="s">
        <v>35</v>
      </c>
      <c r="F101" s="4">
        <v>3.4</v>
      </c>
      <c r="G101" s="4">
        <v>3450</v>
      </c>
      <c r="H101" s="2" t="s">
        <v>39</v>
      </c>
      <c r="I101" s="2" t="s">
        <v>23</v>
      </c>
      <c r="J101" s="3">
        <v>270</v>
      </c>
      <c r="K101" s="5">
        <v>1.04</v>
      </c>
      <c r="L101" s="4">
        <v>47.9</v>
      </c>
      <c r="M101" s="4">
        <v>2696.1</v>
      </c>
      <c r="N101" s="4">
        <v>31.9</v>
      </c>
      <c r="O101" s="4">
        <v>9.1</v>
      </c>
      <c r="P101" s="4">
        <v>1133.5</v>
      </c>
      <c r="Q101" s="5">
        <v>1.18</v>
      </c>
    </row>
    <row r="102" spans="1:17">
      <c r="A102" s="3">
        <v>388</v>
      </c>
      <c r="B102" s="2" t="s">
        <v>233</v>
      </c>
      <c r="C102" s="2" t="s">
        <v>41</v>
      </c>
      <c r="D102" s="2" t="s">
        <v>234</v>
      </c>
      <c r="E102" s="2" t="s">
        <v>35</v>
      </c>
      <c r="F102" s="4">
        <v>16.600000000000001</v>
      </c>
      <c r="G102" s="4">
        <v>4258.1000000000004</v>
      </c>
      <c r="H102" s="2" t="s">
        <v>29</v>
      </c>
      <c r="I102" s="2" t="s">
        <v>23</v>
      </c>
      <c r="J102" s="3">
        <v>250</v>
      </c>
      <c r="K102" s="5">
        <v>1.19</v>
      </c>
      <c r="L102" s="4">
        <v>48.6</v>
      </c>
      <c r="M102" s="4">
        <v>3126.6</v>
      </c>
      <c r="N102" s="4">
        <v>27.5</v>
      </c>
      <c r="O102" s="4">
        <v>8.6999999999999993</v>
      </c>
      <c r="P102" s="4">
        <v>1065</v>
      </c>
      <c r="Q102" s="5">
        <v>1.26</v>
      </c>
    </row>
    <row r="103" spans="1:17">
      <c r="A103" s="3">
        <v>236</v>
      </c>
      <c r="B103" s="2" t="s">
        <v>183</v>
      </c>
      <c r="C103" s="2" t="s">
        <v>33</v>
      </c>
      <c r="D103" s="2" t="s">
        <v>34</v>
      </c>
      <c r="E103" s="2" t="s">
        <v>35</v>
      </c>
      <c r="F103" s="4">
        <v>2.6</v>
      </c>
      <c r="G103" s="4">
        <v>3450</v>
      </c>
      <c r="H103" s="2" t="s">
        <v>39</v>
      </c>
      <c r="I103" s="2" t="s">
        <v>23</v>
      </c>
      <c r="J103" s="3">
        <v>270</v>
      </c>
      <c r="K103" s="5">
        <v>1.04</v>
      </c>
      <c r="L103" s="4">
        <v>49</v>
      </c>
      <c r="M103" s="4">
        <v>2696.1</v>
      </c>
      <c r="N103" s="4">
        <v>31.9</v>
      </c>
      <c r="O103" s="4">
        <v>9.1</v>
      </c>
      <c r="P103" s="4">
        <v>1159.5999999999999</v>
      </c>
      <c r="Q103" s="5">
        <v>1.2</v>
      </c>
    </row>
    <row r="104" spans="1:17">
      <c r="A104" s="3">
        <v>366</v>
      </c>
      <c r="B104" s="2" t="s">
        <v>236</v>
      </c>
      <c r="C104" s="2" t="s">
        <v>19</v>
      </c>
      <c r="D104" s="2" t="s">
        <v>237</v>
      </c>
      <c r="E104" s="2" t="s">
        <v>21</v>
      </c>
      <c r="F104" s="4">
        <v>24.6</v>
      </c>
      <c r="G104" s="4">
        <v>2631.3</v>
      </c>
      <c r="H104" s="2" t="s">
        <v>43</v>
      </c>
      <c r="I104" s="2" t="s">
        <v>238</v>
      </c>
      <c r="J104" s="3">
        <v>125</v>
      </c>
      <c r="K104" s="5">
        <v>1.1499999999999999</v>
      </c>
      <c r="L104" s="4">
        <v>49</v>
      </c>
      <c r="M104" s="4">
        <v>3111.5</v>
      </c>
      <c r="N104" s="4">
        <v>27.6</v>
      </c>
      <c r="O104" s="4">
        <v>13.8</v>
      </c>
      <c r="P104" s="4">
        <v>537</v>
      </c>
      <c r="Q104" s="5">
        <v>0.62</v>
      </c>
    </row>
    <row r="105" spans="1:17">
      <c r="A105" s="3">
        <v>435</v>
      </c>
      <c r="B105" s="2" t="s">
        <v>229</v>
      </c>
      <c r="C105" s="2" t="s">
        <v>24</v>
      </c>
      <c r="D105" s="2" t="s">
        <v>58</v>
      </c>
      <c r="E105" s="2" t="s">
        <v>35</v>
      </c>
      <c r="F105" s="4">
        <v>34.6</v>
      </c>
      <c r="G105" s="4">
        <v>3403.5</v>
      </c>
      <c r="H105" s="2" t="s">
        <v>39</v>
      </c>
      <c r="I105" s="2" t="s">
        <v>23</v>
      </c>
      <c r="J105" s="3">
        <v>210</v>
      </c>
      <c r="K105" s="5">
        <v>1.32</v>
      </c>
      <c r="L105" s="4">
        <v>49.1</v>
      </c>
      <c r="M105" s="4">
        <v>3441.2</v>
      </c>
      <c r="N105" s="4">
        <v>25</v>
      </c>
      <c r="O105" s="4">
        <v>10.9</v>
      </c>
      <c r="P105" s="4">
        <v>903</v>
      </c>
      <c r="Q105" s="5">
        <v>1.19</v>
      </c>
    </row>
    <row r="106" spans="1:17">
      <c r="A106" s="3">
        <v>218</v>
      </c>
      <c r="B106" s="2" t="s">
        <v>174</v>
      </c>
      <c r="C106" s="2" t="s">
        <v>78</v>
      </c>
      <c r="D106" s="2" t="s">
        <v>142</v>
      </c>
      <c r="E106" s="2" t="s">
        <v>35</v>
      </c>
      <c r="F106" s="4">
        <v>21.1</v>
      </c>
      <c r="G106" s="4">
        <v>3305</v>
      </c>
      <c r="H106" s="2" t="s">
        <v>39</v>
      </c>
      <c r="I106" s="2" t="s">
        <v>23</v>
      </c>
      <c r="J106" s="3">
        <v>250</v>
      </c>
      <c r="K106" s="5">
        <v>1.02</v>
      </c>
      <c r="L106" s="4">
        <v>49.2</v>
      </c>
      <c r="M106" s="4">
        <v>2675.1</v>
      </c>
      <c r="N106" s="4">
        <v>32.1</v>
      </c>
      <c r="O106" s="4">
        <v>9.5</v>
      </c>
      <c r="P106" s="4">
        <v>1078.0999999999999</v>
      </c>
      <c r="Q106" s="5">
        <v>1.1100000000000001</v>
      </c>
    </row>
    <row r="107" spans="1:17">
      <c r="A107" s="3">
        <v>11</v>
      </c>
      <c r="B107" s="2" t="s">
        <v>40</v>
      </c>
      <c r="C107" s="2" t="s">
        <v>41</v>
      </c>
      <c r="D107" s="2" t="s">
        <v>42</v>
      </c>
      <c r="E107" s="2" t="s">
        <v>21</v>
      </c>
      <c r="F107" s="4">
        <v>10.4</v>
      </c>
      <c r="G107" s="4">
        <v>2927.8</v>
      </c>
      <c r="H107" s="2" t="s">
        <v>43</v>
      </c>
      <c r="I107" s="2" t="s">
        <v>23</v>
      </c>
      <c r="J107" s="3">
        <v>600</v>
      </c>
      <c r="K107" s="5">
        <v>0.92</v>
      </c>
      <c r="L107" s="4">
        <v>49.3</v>
      </c>
      <c r="M107" s="4">
        <v>2424.1999999999998</v>
      </c>
      <c r="N107" s="4">
        <v>35.5</v>
      </c>
      <c r="O107" s="4">
        <v>5.3</v>
      </c>
      <c r="P107" s="4">
        <v>2591.6999999999998</v>
      </c>
      <c r="Q107" s="5">
        <v>2.38</v>
      </c>
    </row>
    <row r="108" spans="1:17">
      <c r="A108" s="3">
        <v>404</v>
      </c>
      <c r="B108" s="2" t="s">
        <v>245</v>
      </c>
      <c r="C108" s="2" t="s">
        <v>41</v>
      </c>
      <c r="D108" s="2" t="s">
        <v>144</v>
      </c>
      <c r="E108" s="2" t="s">
        <v>35</v>
      </c>
      <c r="F108" s="4">
        <v>28.4</v>
      </c>
      <c r="G108" s="4">
        <v>3116</v>
      </c>
      <c r="H108" s="2" t="s">
        <v>39</v>
      </c>
      <c r="I108" s="2" t="s">
        <v>23</v>
      </c>
      <c r="J108" s="3">
        <v>210</v>
      </c>
      <c r="K108" s="5">
        <v>1.21</v>
      </c>
      <c r="L108" s="4">
        <v>49.4</v>
      </c>
      <c r="M108" s="4">
        <v>3125</v>
      </c>
      <c r="N108" s="4">
        <v>27.5</v>
      </c>
      <c r="O108" s="4">
        <v>9.8000000000000007</v>
      </c>
      <c r="P108" s="4">
        <v>909.6</v>
      </c>
      <c r="Q108" s="5">
        <v>1.1000000000000001</v>
      </c>
    </row>
    <row r="109" spans="1:17">
      <c r="A109" s="3">
        <v>436</v>
      </c>
      <c r="B109" s="2" t="s">
        <v>261</v>
      </c>
      <c r="C109" s="2" t="s">
        <v>19</v>
      </c>
      <c r="D109" s="2" t="s">
        <v>262</v>
      </c>
      <c r="E109" s="2" t="s">
        <v>21</v>
      </c>
      <c r="F109" s="4">
        <v>11.5</v>
      </c>
      <c r="G109" s="4">
        <v>2175.6</v>
      </c>
      <c r="H109" s="2" t="s">
        <v>43</v>
      </c>
      <c r="I109" s="2" t="s">
        <v>23</v>
      </c>
      <c r="J109" s="3">
        <v>50</v>
      </c>
      <c r="K109" s="5">
        <v>1.35</v>
      </c>
      <c r="L109" s="4">
        <v>49.6</v>
      </c>
      <c r="M109" s="4">
        <v>3549.3</v>
      </c>
      <c r="N109" s="4">
        <v>24.2</v>
      </c>
      <c r="O109" s="4">
        <v>16</v>
      </c>
      <c r="P109" s="4">
        <v>217.3</v>
      </c>
      <c r="Q109" s="5">
        <v>0.28999999999999998</v>
      </c>
    </row>
    <row r="110" spans="1:17">
      <c r="A110" s="3">
        <v>413</v>
      </c>
      <c r="B110" s="2" t="s">
        <v>258</v>
      </c>
      <c r="C110" s="2" t="s">
        <v>51</v>
      </c>
      <c r="D110" s="2" t="s">
        <v>234</v>
      </c>
      <c r="E110" s="2" t="s">
        <v>35</v>
      </c>
      <c r="F110" s="4">
        <v>31.4</v>
      </c>
      <c r="G110" s="4">
        <v>3867.4</v>
      </c>
      <c r="H110" s="2" t="s">
        <v>36</v>
      </c>
      <c r="I110" s="2" t="s">
        <v>23</v>
      </c>
      <c r="J110" s="3">
        <v>210</v>
      </c>
      <c r="K110" s="5">
        <v>1.22</v>
      </c>
      <c r="L110" s="4">
        <v>49.7</v>
      </c>
      <c r="M110" s="4">
        <v>3192.2</v>
      </c>
      <c r="N110" s="4">
        <v>26.9</v>
      </c>
      <c r="O110" s="4">
        <v>9.6</v>
      </c>
      <c r="P110" s="4">
        <v>914.9</v>
      </c>
      <c r="Q110" s="5">
        <v>1.1100000000000001</v>
      </c>
    </row>
    <row r="111" spans="1:17">
      <c r="A111" s="3">
        <v>400</v>
      </c>
      <c r="B111" s="2" t="s">
        <v>245</v>
      </c>
      <c r="C111" s="2" t="s">
        <v>19</v>
      </c>
      <c r="D111" s="2" t="s">
        <v>144</v>
      </c>
      <c r="E111" s="2" t="s">
        <v>35</v>
      </c>
      <c r="F111" s="4">
        <v>29.8</v>
      </c>
      <c r="G111" s="4">
        <v>3120.8</v>
      </c>
      <c r="H111" s="2" t="s">
        <v>39</v>
      </c>
      <c r="I111" s="2" t="s">
        <v>23</v>
      </c>
      <c r="J111" s="3">
        <v>210</v>
      </c>
      <c r="K111" s="5">
        <v>1.2</v>
      </c>
      <c r="L111" s="4">
        <v>50</v>
      </c>
      <c r="M111" s="4">
        <v>3100.1</v>
      </c>
      <c r="N111" s="4">
        <v>27.7</v>
      </c>
      <c r="O111" s="4">
        <v>10.4</v>
      </c>
      <c r="P111" s="4">
        <v>920.5</v>
      </c>
      <c r="Q111" s="5">
        <v>1.1100000000000001</v>
      </c>
    </row>
    <row r="112" spans="1:17">
      <c r="A112" s="3">
        <v>238</v>
      </c>
      <c r="B112" s="2" t="s">
        <v>183</v>
      </c>
      <c r="C112" s="2" t="s">
        <v>24</v>
      </c>
      <c r="D112" s="2" t="s">
        <v>34</v>
      </c>
      <c r="E112" s="2" t="s">
        <v>35</v>
      </c>
      <c r="F112" s="4">
        <v>3.7</v>
      </c>
      <c r="G112" s="4">
        <v>3450</v>
      </c>
      <c r="H112" s="2" t="s">
        <v>39</v>
      </c>
      <c r="I112" s="2" t="s">
        <v>23</v>
      </c>
      <c r="J112" s="3">
        <v>270</v>
      </c>
      <c r="K112" s="5">
        <v>1.04</v>
      </c>
      <c r="L112" s="4">
        <v>50.1</v>
      </c>
      <c r="M112" s="4">
        <v>2696.1</v>
      </c>
      <c r="N112" s="4">
        <v>31.9</v>
      </c>
      <c r="O112" s="4">
        <v>9.1</v>
      </c>
      <c r="P112" s="4">
        <v>1185.5999999999999</v>
      </c>
      <c r="Q112" s="5">
        <v>1.23</v>
      </c>
    </row>
    <row r="113" spans="1:17">
      <c r="A113" s="3">
        <v>241</v>
      </c>
      <c r="B113" s="2" t="s">
        <v>171</v>
      </c>
      <c r="C113" s="2" t="s">
        <v>33</v>
      </c>
      <c r="D113" s="2" t="s">
        <v>52</v>
      </c>
      <c r="E113" s="2" t="s">
        <v>35</v>
      </c>
      <c r="F113" s="4">
        <v>17.600000000000001</v>
      </c>
      <c r="G113" s="4">
        <v>3401</v>
      </c>
      <c r="H113" s="2" t="s">
        <v>39</v>
      </c>
      <c r="I113" s="2" t="s">
        <v>23</v>
      </c>
      <c r="J113" s="3">
        <v>210</v>
      </c>
      <c r="K113" s="5">
        <v>1.04</v>
      </c>
      <c r="L113" s="4">
        <v>50.1</v>
      </c>
      <c r="M113" s="4">
        <v>2729.7</v>
      </c>
      <c r="N113" s="4">
        <v>31.5</v>
      </c>
      <c r="O113" s="4">
        <v>10.3</v>
      </c>
      <c r="P113" s="4">
        <v>922</v>
      </c>
      <c r="Q113" s="5">
        <v>0.96</v>
      </c>
    </row>
    <row r="114" spans="1:17">
      <c r="A114" s="3">
        <v>117</v>
      </c>
      <c r="B114" s="2" t="s">
        <v>124</v>
      </c>
      <c r="C114" s="2" t="s">
        <v>78</v>
      </c>
      <c r="D114" s="2" t="s">
        <v>46</v>
      </c>
      <c r="E114" s="2" t="s">
        <v>47</v>
      </c>
      <c r="F114" s="4">
        <v>30.5</v>
      </c>
      <c r="G114" s="4">
        <v>3926.3</v>
      </c>
      <c r="H114" s="2" t="s">
        <v>36</v>
      </c>
      <c r="I114" s="2" t="s">
        <v>23</v>
      </c>
      <c r="J114" s="3">
        <v>500</v>
      </c>
      <c r="K114" s="5">
        <v>0.97</v>
      </c>
      <c r="L114" s="4">
        <v>50.3</v>
      </c>
      <c r="M114" s="4">
        <v>2568.1</v>
      </c>
      <c r="N114" s="4">
        <v>33.5</v>
      </c>
      <c r="O114" s="4">
        <v>7.6</v>
      </c>
      <c r="P114" s="4">
        <v>2203.6999999999998</v>
      </c>
      <c r="Q114" s="5">
        <v>2.15</v>
      </c>
    </row>
    <row r="115" spans="1:17">
      <c r="A115" s="3">
        <v>274</v>
      </c>
      <c r="B115" s="2" t="s">
        <v>203</v>
      </c>
      <c r="C115" s="2" t="s">
        <v>24</v>
      </c>
      <c r="D115" s="2" t="s">
        <v>204</v>
      </c>
      <c r="E115" s="2" t="s">
        <v>21</v>
      </c>
      <c r="F115" s="4">
        <v>14.2</v>
      </c>
      <c r="G115" s="4">
        <v>3710.2</v>
      </c>
      <c r="H115" s="2" t="s">
        <v>36</v>
      </c>
      <c r="I115" s="2" t="s">
        <v>23</v>
      </c>
      <c r="J115" s="3">
        <v>135</v>
      </c>
      <c r="K115" s="5">
        <v>1.06</v>
      </c>
      <c r="L115" s="4">
        <v>50.3</v>
      </c>
      <c r="M115" s="4">
        <v>2787.8</v>
      </c>
      <c r="N115" s="4">
        <v>30.8</v>
      </c>
      <c r="O115" s="4">
        <v>10.1</v>
      </c>
      <c r="P115" s="4">
        <v>595.29999999999995</v>
      </c>
      <c r="Q115" s="5">
        <v>0.63</v>
      </c>
    </row>
    <row r="116" spans="1:17">
      <c r="A116" s="3">
        <v>288</v>
      </c>
      <c r="B116" s="2" t="s">
        <v>211</v>
      </c>
      <c r="C116" s="2" t="s">
        <v>24</v>
      </c>
      <c r="D116" s="2" t="s">
        <v>142</v>
      </c>
      <c r="E116" s="2" t="s">
        <v>35</v>
      </c>
      <c r="F116" s="4">
        <v>9.1999999999999993</v>
      </c>
      <c r="G116" s="4">
        <v>3865.6</v>
      </c>
      <c r="H116" s="2" t="s">
        <v>36</v>
      </c>
      <c r="I116" s="2" t="s">
        <v>23</v>
      </c>
      <c r="J116" s="3">
        <v>600</v>
      </c>
      <c r="K116" s="5">
        <v>1.07</v>
      </c>
      <c r="L116" s="4">
        <v>50.5</v>
      </c>
      <c r="M116" s="4">
        <v>2817.5</v>
      </c>
      <c r="N116" s="4">
        <v>30.5</v>
      </c>
      <c r="O116" s="4">
        <v>6.6</v>
      </c>
      <c r="P116" s="4">
        <v>2654.9</v>
      </c>
      <c r="Q116" s="5">
        <v>2.84</v>
      </c>
    </row>
    <row r="117" spans="1:17">
      <c r="A117" s="3">
        <v>368</v>
      </c>
      <c r="B117" s="2" t="s">
        <v>56</v>
      </c>
      <c r="C117" s="2" t="s">
        <v>41</v>
      </c>
      <c r="D117" s="2" t="s">
        <v>58</v>
      </c>
      <c r="E117" s="2" t="s">
        <v>35</v>
      </c>
      <c r="F117" s="4">
        <v>39.299999999999997</v>
      </c>
      <c r="G117" s="4">
        <v>3100.2</v>
      </c>
      <c r="H117" s="2" t="s">
        <v>39</v>
      </c>
      <c r="I117" s="2" t="s">
        <v>23</v>
      </c>
      <c r="J117" s="3">
        <v>210</v>
      </c>
      <c r="K117" s="5">
        <v>1.1499999999999999</v>
      </c>
      <c r="L117" s="4">
        <v>50.5</v>
      </c>
      <c r="M117" s="4">
        <v>3009.9</v>
      </c>
      <c r="N117" s="4">
        <v>28.6</v>
      </c>
      <c r="O117" s="4">
        <v>11.9</v>
      </c>
      <c r="P117" s="4">
        <v>929.4</v>
      </c>
      <c r="Q117" s="5">
        <v>1.07</v>
      </c>
    </row>
    <row r="118" spans="1:17">
      <c r="A118" s="3">
        <v>433</v>
      </c>
      <c r="B118" s="2" t="s">
        <v>229</v>
      </c>
      <c r="C118" s="2" t="s">
        <v>33</v>
      </c>
      <c r="D118" s="2" t="s">
        <v>58</v>
      </c>
      <c r="E118" s="2" t="s">
        <v>35</v>
      </c>
      <c r="F118" s="4">
        <v>23.6</v>
      </c>
      <c r="G118" s="4">
        <v>3429.2</v>
      </c>
      <c r="H118" s="2" t="s">
        <v>39</v>
      </c>
      <c r="I118" s="2" t="s">
        <v>23</v>
      </c>
      <c r="J118" s="3">
        <v>210</v>
      </c>
      <c r="K118" s="5">
        <v>1.3</v>
      </c>
      <c r="L118" s="4">
        <v>50.8</v>
      </c>
      <c r="M118" s="4">
        <v>3410.8</v>
      </c>
      <c r="N118" s="4">
        <v>25.2</v>
      </c>
      <c r="O118" s="4">
        <v>11.3</v>
      </c>
      <c r="P118" s="4">
        <v>934</v>
      </c>
      <c r="Q118" s="5">
        <v>1.22</v>
      </c>
    </row>
    <row r="119" spans="1:17">
      <c r="A119" s="3">
        <v>285</v>
      </c>
      <c r="B119" s="2" t="s">
        <v>123</v>
      </c>
      <c r="C119" s="2" t="s">
        <v>24</v>
      </c>
      <c r="D119" s="2" t="s">
        <v>46</v>
      </c>
      <c r="E119" s="2" t="s">
        <v>47</v>
      </c>
      <c r="F119" s="4">
        <v>35.4</v>
      </c>
      <c r="G119" s="4">
        <v>3831.3</v>
      </c>
      <c r="H119" s="2" t="s">
        <v>36</v>
      </c>
      <c r="I119" s="2" t="s">
        <v>23</v>
      </c>
      <c r="J119" s="3">
        <v>210</v>
      </c>
      <c r="K119" s="5">
        <v>1.07</v>
      </c>
      <c r="L119" s="4">
        <v>50.9</v>
      </c>
      <c r="M119" s="4">
        <v>2837.1</v>
      </c>
      <c r="N119" s="4">
        <v>30.3</v>
      </c>
      <c r="O119" s="4">
        <v>10.3</v>
      </c>
      <c r="P119" s="4">
        <v>936.2</v>
      </c>
      <c r="Q119" s="5">
        <v>1</v>
      </c>
    </row>
    <row r="120" spans="1:17">
      <c r="A120" s="3">
        <v>327</v>
      </c>
      <c r="B120" s="2" t="s">
        <v>222</v>
      </c>
      <c r="C120" s="2" t="s">
        <v>24</v>
      </c>
      <c r="D120" s="2" t="s">
        <v>144</v>
      </c>
      <c r="E120" s="2" t="s">
        <v>35</v>
      </c>
      <c r="F120" s="4">
        <v>43.6</v>
      </c>
      <c r="G120" s="4">
        <v>2840</v>
      </c>
      <c r="H120" s="2" t="s">
        <v>43</v>
      </c>
      <c r="I120" s="2" t="s">
        <v>23</v>
      </c>
      <c r="J120" s="3">
        <v>210</v>
      </c>
      <c r="K120" s="5">
        <v>1.1000000000000001</v>
      </c>
      <c r="L120" s="4">
        <v>51</v>
      </c>
      <c r="M120" s="4">
        <v>2864.7</v>
      </c>
      <c r="N120" s="4">
        <v>30</v>
      </c>
      <c r="O120" s="4">
        <v>8.6999999999999993</v>
      </c>
      <c r="P120" s="4">
        <v>938.3</v>
      </c>
      <c r="Q120" s="5">
        <v>1.03</v>
      </c>
    </row>
    <row r="121" spans="1:17">
      <c r="A121" s="3">
        <v>376</v>
      </c>
      <c r="B121" s="2" t="s">
        <v>243</v>
      </c>
      <c r="C121" s="2" t="s">
        <v>19</v>
      </c>
      <c r="D121" s="2" t="s">
        <v>49</v>
      </c>
      <c r="E121" s="2" t="s">
        <v>21</v>
      </c>
      <c r="F121" s="4">
        <v>34</v>
      </c>
      <c r="G121" s="4">
        <v>4677</v>
      </c>
      <c r="H121" s="2" t="s">
        <v>99</v>
      </c>
      <c r="I121" s="2" t="s">
        <v>23</v>
      </c>
      <c r="J121" s="3">
        <v>67.5</v>
      </c>
      <c r="K121" s="5">
        <v>1.17</v>
      </c>
      <c r="L121" s="4">
        <v>51</v>
      </c>
      <c r="M121" s="4">
        <v>3075.5</v>
      </c>
      <c r="N121" s="4">
        <v>28</v>
      </c>
      <c r="O121" s="4">
        <v>8.5</v>
      </c>
      <c r="P121" s="4">
        <v>301.60000000000002</v>
      </c>
      <c r="Q121" s="5">
        <v>0.35</v>
      </c>
    </row>
    <row r="122" spans="1:17">
      <c r="A122" s="3">
        <v>425</v>
      </c>
      <c r="B122" s="2" t="s">
        <v>263</v>
      </c>
      <c r="C122" s="2" t="s">
        <v>19</v>
      </c>
      <c r="D122" s="2" t="s">
        <v>264</v>
      </c>
      <c r="E122" s="2" t="s">
        <v>21</v>
      </c>
      <c r="F122" s="4">
        <v>21.8</v>
      </c>
      <c r="G122" s="4">
        <v>2815.9</v>
      </c>
      <c r="H122" s="2" t="s">
        <v>43</v>
      </c>
      <c r="I122" s="2" t="s">
        <v>238</v>
      </c>
      <c r="J122" s="3">
        <v>250</v>
      </c>
      <c r="K122" s="5">
        <v>1.25</v>
      </c>
      <c r="L122" s="4">
        <v>51.1</v>
      </c>
      <c r="M122" s="4">
        <v>2966.1</v>
      </c>
      <c r="N122" s="4">
        <v>29</v>
      </c>
      <c r="O122" s="4">
        <v>8</v>
      </c>
      <c r="P122" s="4">
        <v>1119.5</v>
      </c>
      <c r="Q122" s="5">
        <v>1.4</v>
      </c>
    </row>
    <row r="123" spans="1:17">
      <c r="A123" s="3">
        <v>232</v>
      </c>
      <c r="B123" s="2" t="s">
        <v>176</v>
      </c>
      <c r="C123" s="2" t="s">
        <v>19</v>
      </c>
      <c r="D123" s="2" t="s">
        <v>177</v>
      </c>
      <c r="E123" s="2" t="s">
        <v>21</v>
      </c>
      <c r="F123" s="4">
        <v>8.8000000000000007</v>
      </c>
      <c r="G123" s="4">
        <v>3044</v>
      </c>
      <c r="H123" s="2" t="s">
        <v>39</v>
      </c>
      <c r="I123" s="2" t="s">
        <v>23</v>
      </c>
      <c r="J123" s="3">
        <v>360</v>
      </c>
      <c r="K123" s="5">
        <v>1.03</v>
      </c>
      <c r="L123" s="4">
        <v>51.3</v>
      </c>
      <c r="M123" s="4">
        <v>2721.9</v>
      </c>
      <c r="N123" s="4">
        <v>31.6</v>
      </c>
      <c r="O123" s="4">
        <v>10.1</v>
      </c>
      <c r="P123" s="4">
        <v>1617.5</v>
      </c>
      <c r="Q123" s="5">
        <v>1.67</v>
      </c>
    </row>
    <row r="124" spans="1:17">
      <c r="A124" s="3">
        <v>292</v>
      </c>
      <c r="B124" s="2" t="s">
        <v>214</v>
      </c>
      <c r="C124" s="2" t="s">
        <v>41</v>
      </c>
      <c r="D124" s="2" t="s">
        <v>215</v>
      </c>
      <c r="E124" s="2" t="s">
        <v>35</v>
      </c>
      <c r="F124" s="4">
        <v>33.4</v>
      </c>
      <c r="G124" s="4">
        <v>3097.3</v>
      </c>
      <c r="H124" s="2" t="s">
        <v>39</v>
      </c>
      <c r="I124" s="2" t="s">
        <v>23</v>
      </c>
      <c r="J124" s="3">
        <v>210</v>
      </c>
      <c r="K124" s="5">
        <v>1.07</v>
      </c>
      <c r="L124" s="4">
        <v>51.4</v>
      </c>
      <c r="M124" s="4">
        <v>2802.1</v>
      </c>
      <c r="N124" s="4">
        <v>30.7</v>
      </c>
      <c r="O124" s="4">
        <v>11.3</v>
      </c>
      <c r="P124" s="4">
        <v>945.3</v>
      </c>
      <c r="Q124" s="5">
        <v>1.01</v>
      </c>
    </row>
    <row r="125" spans="1:17">
      <c r="A125" s="3">
        <v>345</v>
      </c>
      <c r="B125" s="2" t="s">
        <v>224</v>
      </c>
      <c r="C125" s="2" t="s">
        <v>33</v>
      </c>
      <c r="D125" s="2" t="s">
        <v>162</v>
      </c>
      <c r="E125" s="2" t="s">
        <v>35</v>
      </c>
      <c r="F125" s="4">
        <v>33</v>
      </c>
      <c r="G125" s="4">
        <v>3667</v>
      </c>
      <c r="H125" s="2" t="s">
        <v>36</v>
      </c>
      <c r="I125" s="2" t="s">
        <v>23</v>
      </c>
      <c r="J125" s="3">
        <v>210</v>
      </c>
      <c r="K125" s="5">
        <v>1.1200000000000001</v>
      </c>
      <c r="L125" s="4">
        <v>51.6</v>
      </c>
      <c r="M125" s="4">
        <v>2876.4</v>
      </c>
      <c r="N125" s="4">
        <v>29.9</v>
      </c>
      <c r="O125" s="4">
        <v>11.5</v>
      </c>
      <c r="P125" s="4">
        <v>949</v>
      </c>
      <c r="Q125" s="5">
        <v>1.06</v>
      </c>
    </row>
    <row r="126" spans="1:17">
      <c r="A126" s="3">
        <v>254</v>
      </c>
      <c r="B126" s="2" t="s">
        <v>192</v>
      </c>
      <c r="C126" s="2" t="s">
        <v>57</v>
      </c>
      <c r="D126" s="2" t="s">
        <v>52</v>
      </c>
      <c r="E126" s="2" t="s">
        <v>35</v>
      </c>
      <c r="F126" s="4">
        <v>12.9</v>
      </c>
      <c r="G126" s="4">
        <v>3483</v>
      </c>
      <c r="H126" s="2" t="s">
        <v>39</v>
      </c>
      <c r="I126" s="2" t="s">
        <v>23</v>
      </c>
      <c r="J126" s="3">
        <v>250</v>
      </c>
      <c r="K126" s="5">
        <v>1.04</v>
      </c>
      <c r="L126" s="4">
        <v>51.7</v>
      </c>
      <c r="M126" s="4">
        <v>2750.7</v>
      </c>
      <c r="N126" s="4">
        <v>31.3</v>
      </c>
      <c r="O126" s="4">
        <v>8.9</v>
      </c>
      <c r="P126" s="4">
        <v>1132</v>
      </c>
      <c r="Q126" s="5">
        <v>1.18</v>
      </c>
    </row>
    <row r="127" spans="1:17">
      <c r="A127" s="3">
        <v>322</v>
      </c>
      <c r="B127" s="2" t="s">
        <v>219</v>
      </c>
      <c r="C127" s="2" t="s">
        <v>19</v>
      </c>
      <c r="D127" s="2" t="s">
        <v>220</v>
      </c>
      <c r="E127" s="2" t="s">
        <v>35</v>
      </c>
      <c r="F127" s="4">
        <v>10.4</v>
      </c>
      <c r="G127" s="4">
        <v>3472</v>
      </c>
      <c r="H127" s="2" t="s">
        <v>39</v>
      </c>
      <c r="I127" s="2" t="s">
        <v>23</v>
      </c>
      <c r="J127" s="3">
        <v>500</v>
      </c>
      <c r="K127" s="5">
        <v>1.1000000000000001</v>
      </c>
      <c r="L127" s="4">
        <v>51.7</v>
      </c>
      <c r="M127" s="4">
        <v>2887.7</v>
      </c>
      <c r="N127" s="4">
        <v>29.8</v>
      </c>
      <c r="O127" s="4">
        <v>6</v>
      </c>
      <c r="P127" s="4">
        <v>2264</v>
      </c>
      <c r="Q127" s="5">
        <v>2.48</v>
      </c>
    </row>
    <row r="128" spans="1:17">
      <c r="A128" s="3">
        <v>341</v>
      </c>
      <c r="B128" s="2" t="s">
        <v>56</v>
      </c>
      <c r="C128" s="2" t="s">
        <v>51</v>
      </c>
      <c r="D128" s="2" t="s">
        <v>58</v>
      </c>
      <c r="E128" s="2" t="s">
        <v>35</v>
      </c>
      <c r="F128" s="4">
        <v>32.4</v>
      </c>
      <c r="G128" s="4">
        <v>3050.8</v>
      </c>
      <c r="H128" s="2" t="s">
        <v>39</v>
      </c>
      <c r="I128" s="2" t="s">
        <v>23</v>
      </c>
      <c r="J128" s="3">
        <v>500</v>
      </c>
      <c r="K128" s="5">
        <v>1.1100000000000001</v>
      </c>
      <c r="L128" s="4">
        <v>51.7</v>
      </c>
      <c r="M128" s="4">
        <v>2914.9</v>
      </c>
      <c r="N128" s="4">
        <v>29.5</v>
      </c>
      <c r="O128" s="4">
        <v>9.5</v>
      </c>
      <c r="P128" s="4">
        <v>2263.5</v>
      </c>
      <c r="Q128" s="5">
        <v>2.5099999999999998</v>
      </c>
    </row>
    <row r="129" spans="1:17">
      <c r="A129" s="3">
        <v>109</v>
      </c>
      <c r="B129" s="2" t="s">
        <v>53</v>
      </c>
      <c r="C129" s="2" t="s">
        <v>19</v>
      </c>
      <c r="D129" s="2" t="s">
        <v>46</v>
      </c>
      <c r="E129" s="2" t="s">
        <v>47</v>
      </c>
      <c r="F129" s="4">
        <v>40.700000000000003</v>
      </c>
      <c r="G129" s="4">
        <v>3489.1</v>
      </c>
      <c r="H129" s="2" t="s">
        <v>39</v>
      </c>
      <c r="I129" s="2" t="s">
        <v>23</v>
      </c>
      <c r="J129" s="3">
        <v>200</v>
      </c>
      <c r="K129" s="5">
        <v>0.97</v>
      </c>
      <c r="L129" s="4">
        <v>51.8</v>
      </c>
      <c r="M129" s="4">
        <v>2548</v>
      </c>
      <c r="N129" s="4">
        <v>33.700000000000003</v>
      </c>
      <c r="O129" s="4">
        <v>10.5</v>
      </c>
      <c r="P129" s="4">
        <v>906.8</v>
      </c>
      <c r="Q129" s="5">
        <v>0.88</v>
      </c>
    </row>
    <row r="130" spans="1:17">
      <c r="A130" s="3">
        <v>224</v>
      </c>
      <c r="B130" s="2" t="s">
        <v>50</v>
      </c>
      <c r="C130" s="2" t="s">
        <v>41</v>
      </c>
      <c r="D130" s="2" t="s">
        <v>52</v>
      </c>
      <c r="E130" s="2" t="s">
        <v>35</v>
      </c>
      <c r="F130" s="4">
        <v>35.299999999999997</v>
      </c>
      <c r="G130" s="4">
        <v>3216</v>
      </c>
      <c r="H130" s="2" t="s">
        <v>39</v>
      </c>
      <c r="I130" s="2" t="s">
        <v>23</v>
      </c>
      <c r="J130" s="3">
        <v>210</v>
      </c>
      <c r="K130" s="5">
        <v>1.03</v>
      </c>
      <c r="L130" s="4">
        <v>52</v>
      </c>
      <c r="M130" s="4">
        <v>2708.1</v>
      </c>
      <c r="N130" s="4">
        <v>31.8</v>
      </c>
      <c r="O130" s="4">
        <v>10.3</v>
      </c>
      <c r="P130" s="4">
        <v>957</v>
      </c>
      <c r="Q130" s="5">
        <v>0.98</v>
      </c>
    </row>
    <row r="131" spans="1:17">
      <c r="A131" s="3">
        <v>130</v>
      </c>
      <c r="B131" s="2" t="s">
        <v>129</v>
      </c>
      <c r="C131" s="2" t="s">
        <v>19</v>
      </c>
      <c r="D131" s="2" t="s">
        <v>130</v>
      </c>
      <c r="E131" s="2" t="s">
        <v>21</v>
      </c>
      <c r="F131" s="4">
        <v>8.6</v>
      </c>
      <c r="G131" s="4">
        <v>3115</v>
      </c>
      <c r="H131" s="2" t="s">
        <v>39</v>
      </c>
      <c r="I131" s="2" t="s">
        <v>23</v>
      </c>
      <c r="J131" s="3">
        <v>520</v>
      </c>
      <c r="K131" s="5">
        <v>0.98</v>
      </c>
      <c r="L131" s="4">
        <v>52.1</v>
      </c>
      <c r="M131" s="4">
        <v>2579.4</v>
      </c>
      <c r="N131" s="4">
        <v>33.299999999999997</v>
      </c>
      <c r="O131" s="4">
        <v>6.5</v>
      </c>
      <c r="P131" s="4">
        <v>2373.1999999999998</v>
      </c>
      <c r="Q131" s="5">
        <v>2.3199999999999998</v>
      </c>
    </row>
    <row r="132" spans="1:17">
      <c r="A132" s="3">
        <v>444</v>
      </c>
      <c r="B132" s="2" t="s">
        <v>270</v>
      </c>
      <c r="C132" s="2" t="s">
        <v>19</v>
      </c>
      <c r="D132" s="2" t="s">
        <v>247</v>
      </c>
      <c r="E132" s="2" t="s">
        <v>47</v>
      </c>
      <c r="F132" s="4">
        <v>36.6</v>
      </c>
      <c r="G132" s="4">
        <v>2556</v>
      </c>
      <c r="H132" s="2" t="s">
        <v>43</v>
      </c>
      <c r="I132" s="2" t="s">
        <v>238</v>
      </c>
      <c r="J132" s="3">
        <v>210</v>
      </c>
      <c r="K132" s="5">
        <v>1.45</v>
      </c>
      <c r="L132" s="4">
        <v>52.1</v>
      </c>
      <c r="M132" s="4">
        <v>3435.4</v>
      </c>
      <c r="N132" s="4">
        <v>25</v>
      </c>
      <c r="O132" s="4">
        <v>11.7</v>
      </c>
      <c r="P132" s="4">
        <v>958.4</v>
      </c>
      <c r="Q132" s="5">
        <v>1.39</v>
      </c>
    </row>
    <row r="133" spans="1:17">
      <c r="A133" s="3">
        <v>280</v>
      </c>
      <c r="B133" s="2" t="s">
        <v>205</v>
      </c>
      <c r="C133" s="2" t="s">
        <v>19</v>
      </c>
      <c r="D133" s="2" t="s">
        <v>206</v>
      </c>
      <c r="E133" s="2" t="s">
        <v>21</v>
      </c>
      <c r="F133" s="4">
        <v>9.1</v>
      </c>
      <c r="G133" s="4">
        <v>3485</v>
      </c>
      <c r="H133" s="2" t="s">
        <v>39</v>
      </c>
      <c r="I133" s="2" t="s">
        <v>23</v>
      </c>
      <c r="J133" s="3">
        <v>300</v>
      </c>
      <c r="K133" s="5">
        <v>1.06</v>
      </c>
      <c r="L133" s="4">
        <v>52.5</v>
      </c>
      <c r="M133" s="4">
        <v>2790</v>
      </c>
      <c r="N133" s="4">
        <v>30.8</v>
      </c>
      <c r="O133" s="4">
        <v>8.9</v>
      </c>
      <c r="P133" s="4">
        <v>1379</v>
      </c>
      <c r="Q133" s="5">
        <v>1.46</v>
      </c>
    </row>
    <row r="134" spans="1:17">
      <c r="A134" s="3">
        <v>141</v>
      </c>
      <c r="B134" s="2" t="s">
        <v>131</v>
      </c>
      <c r="C134" s="2" t="s">
        <v>33</v>
      </c>
      <c r="D134" s="2" t="s">
        <v>20</v>
      </c>
      <c r="E134" s="2" t="s">
        <v>21</v>
      </c>
      <c r="F134" s="4">
        <v>16.100000000000001</v>
      </c>
      <c r="G134" s="4">
        <v>2891.4</v>
      </c>
      <c r="H134" s="2" t="s">
        <v>43</v>
      </c>
      <c r="I134" s="2" t="s">
        <v>23</v>
      </c>
      <c r="J134" s="3">
        <v>250</v>
      </c>
      <c r="K134" s="5">
        <v>0.98</v>
      </c>
      <c r="L134" s="4">
        <v>52.6</v>
      </c>
      <c r="M134" s="4">
        <v>2589.6</v>
      </c>
      <c r="N134" s="4">
        <v>33.200000000000003</v>
      </c>
      <c r="O134" s="4">
        <v>10.3</v>
      </c>
      <c r="P134" s="4">
        <v>1152.0999999999999</v>
      </c>
      <c r="Q134" s="5">
        <v>1.1299999999999999</v>
      </c>
    </row>
    <row r="135" spans="1:17">
      <c r="A135" s="3">
        <v>328</v>
      </c>
      <c r="B135" s="2" t="s">
        <v>222</v>
      </c>
      <c r="C135" s="2" t="s">
        <v>78</v>
      </c>
      <c r="D135" s="2" t="s">
        <v>144</v>
      </c>
      <c r="E135" s="2" t="s">
        <v>35</v>
      </c>
      <c r="F135" s="4">
        <v>33.4</v>
      </c>
      <c r="G135" s="4">
        <v>2835</v>
      </c>
      <c r="H135" s="2" t="s">
        <v>43</v>
      </c>
      <c r="I135" s="2" t="s">
        <v>23</v>
      </c>
      <c r="J135" s="3">
        <v>210</v>
      </c>
      <c r="K135" s="5">
        <v>1.1000000000000001</v>
      </c>
      <c r="L135" s="4">
        <v>52.6</v>
      </c>
      <c r="M135" s="4">
        <v>2871.9</v>
      </c>
      <c r="N135" s="4">
        <v>29.9</v>
      </c>
      <c r="O135" s="4">
        <v>9.9</v>
      </c>
      <c r="P135" s="4">
        <v>966.9</v>
      </c>
      <c r="Q135" s="5">
        <v>1.06</v>
      </c>
    </row>
    <row r="136" spans="1:17">
      <c r="A136" s="3">
        <v>150</v>
      </c>
      <c r="B136" s="2" t="s">
        <v>143</v>
      </c>
      <c r="C136" s="2" t="s">
        <v>19</v>
      </c>
      <c r="D136" s="2" t="s">
        <v>144</v>
      </c>
      <c r="E136" s="2" t="s">
        <v>35</v>
      </c>
      <c r="F136" s="4">
        <v>11.8</v>
      </c>
      <c r="G136" s="4">
        <v>3072.5</v>
      </c>
      <c r="H136" s="2" t="s">
        <v>39</v>
      </c>
      <c r="I136" s="2" t="s">
        <v>23</v>
      </c>
      <c r="J136" s="3">
        <v>600</v>
      </c>
      <c r="K136" s="5">
        <v>0.98</v>
      </c>
      <c r="L136" s="4">
        <v>52.7</v>
      </c>
      <c r="M136" s="4">
        <v>2617.6</v>
      </c>
      <c r="N136" s="4">
        <v>32.799999999999997</v>
      </c>
      <c r="O136" s="4">
        <v>7.7</v>
      </c>
      <c r="P136" s="4">
        <v>2770.3</v>
      </c>
      <c r="Q136" s="5">
        <v>2.73</v>
      </c>
    </row>
    <row r="137" spans="1:17">
      <c r="A137" s="3">
        <v>152</v>
      </c>
      <c r="B137" s="2" t="s">
        <v>145</v>
      </c>
      <c r="C137" s="2" t="s">
        <v>24</v>
      </c>
      <c r="D137" s="2" t="s">
        <v>146</v>
      </c>
      <c r="E137" s="2" t="s">
        <v>47</v>
      </c>
      <c r="F137" s="4">
        <v>12.8</v>
      </c>
      <c r="G137" s="4">
        <v>3772.7</v>
      </c>
      <c r="H137" s="2" t="s">
        <v>36</v>
      </c>
      <c r="I137" s="2" t="s">
        <v>23</v>
      </c>
      <c r="J137" s="3">
        <v>500</v>
      </c>
      <c r="K137" s="5">
        <v>0.98</v>
      </c>
      <c r="L137" s="4">
        <v>53</v>
      </c>
      <c r="M137" s="4">
        <v>2592</v>
      </c>
      <c r="N137" s="4">
        <v>33.200000000000003</v>
      </c>
      <c r="O137" s="4">
        <v>6.1</v>
      </c>
      <c r="P137" s="4">
        <v>2321</v>
      </c>
      <c r="Q137" s="5">
        <v>2.29</v>
      </c>
    </row>
    <row r="138" spans="1:17">
      <c r="A138" s="3">
        <v>234</v>
      </c>
      <c r="B138" s="2" t="s">
        <v>181</v>
      </c>
      <c r="C138" s="2" t="s">
        <v>24</v>
      </c>
      <c r="D138" s="2" t="s">
        <v>116</v>
      </c>
      <c r="E138" s="2" t="s">
        <v>47</v>
      </c>
      <c r="F138" s="4">
        <v>27.4</v>
      </c>
      <c r="G138" s="4">
        <v>3430.8</v>
      </c>
      <c r="H138" s="2" t="s">
        <v>39</v>
      </c>
      <c r="I138" s="2" t="s">
        <v>23</v>
      </c>
      <c r="J138" s="3">
        <v>210</v>
      </c>
      <c r="K138" s="5">
        <v>1.04</v>
      </c>
      <c r="L138" s="4">
        <v>53.1</v>
      </c>
      <c r="M138" s="4">
        <v>2717.3</v>
      </c>
      <c r="N138" s="4">
        <v>31.6</v>
      </c>
      <c r="O138" s="4">
        <v>11.4</v>
      </c>
      <c r="P138" s="4">
        <v>977.5</v>
      </c>
      <c r="Q138" s="5">
        <v>1.01</v>
      </c>
    </row>
    <row r="139" spans="1:17">
      <c r="A139" s="3">
        <v>240</v>
      </c>
      <c r="B139" s="2" t="s">
        <v>184</v>
      </c>
      <c r="C139" s="2" t="s">
        <v>19</v>
      </c>
      <c r="D139" s="2" t="s">
        <v>185</v>
      </c>
      <c r="E139" s="2" t="s">
        <v>21</v>
      </c>
      <c r="F139" s="4">
        <v>8</v>
      </c>
      <c r="G139" s="4">
        <v>3097</v>
      </c>
      <c r="H139" s="2" t="s">
        <v>39</v>
      </c>
      <c r="I139" s="2" t="s">
        <v>23</v>
      </c>
      <c r="J139" s="3">
        <v>300</v>
      </c>
      <c r="K139" s="5">
        <v>1.04</v>
      </c>
      <c r="L139" s="4">
        <v>53.3</v>
      </c>
      <c r="M139" s="4">
        <v>2731.6</v>
      </c>
      <c r="N139" s="4">
        <v>31.5</v>
      </c>
      <c r="O139" s="4">
        <v>9.5</v>
      </c>
      <c r="P139" s="4">
        <v>1401.1</v>
      </c>
      <c r="Q139" s="5">
        <v>1.45</v>
      </c>
    </row>
    <row r="140" spans="1:17">
      <c r="A140" s="3">
        <v>275</v>
      </c>
      <c r="B140" s="2" t="s">
        <v>203</v>
      </c>
      <c r="C140" s="2" t="s">
        <v>41</v>
      </c>
      <c r="D140" s="2" t="s">
        <v>204</v>
      </c>
      <c r="E140" s="2" t="s">
        <v>21</v>
      </c>
      <c r="F140" s="4">
        <v>13.8</v>
      </c>
      <c r="G140" s="4">
        <v>3710.2</v>
      </c>
      <c r="H140" s="2" t="s">
        <v>36</v>
      </c>
      <c r="I140" s="2" t="s">
        <v>23</v>
      </c>
      <c r="J140" s="3">
        <v>135</v>
      </c>
      <c r="K140" s="5">
        <v>1.06</v>
      </c>
      <c r="L140" s="4">
        <v>53.3</v>
      </c>
      <c r="M140" s="4">
        <v>2787.8</v>
      </c>
      <c r="N140" s="4">
        <v>30.8</v>
      </c>
      <c r="O140" s="4">
        <v>10.1</v>
      </c>
      <c r="P140" s="4">
        <v>630.1</v>
      </c>
      <c r="Q140" s="5">
        <v>0.67</v>
      </c>
    </row>
    <row r="141" spans="1:17">
      <c r="A141" s="3">
        <v>310</v>
      </c>
      <c r="B141" s="2" t="s">
        <v>212</v>
      </c>
      <c r="C141" s="2" t="s">
        <v>45</v>
      </c>
      <c r="D141" s="2" t="s">
        <v>58</v>
      </c>
      <c r="E141" s="2" t="s">
        <v>35</v>
      </c>
      <c r="F141" s="4">
        <v>14.5</v>
      </c>
      <c r="G141" s="4">
        <v>3268</v>
      </c>
      <c r="H141" s="2" t="s">
        <v>39</v>
      </c>
      <c r="I141" s="2" t="s">
        <v>23</v>
      </c>
      <c r="J141" s="3">
        <v>250</v>
      </c>
      <c r="K141" s="5">
        <v>1.08</v>
      </c>
      <c r="L141" s="4">
        <v>53.5</v>
      </c>
      <c r="M141" s="4">
        <v>2810.3</v>
      </c>
      <c r="N141" s="4">
        <v>30.6</v>
      </c>
      <c r="O141" s="4">
        <v>11.4</v>
      </c>
      <c r="P141" s="4">
        <v>1171</v>
      </c>
      <c r="Q141" s="5">
        <v>1.27</v>
      </c>
    </row>
    <row r="142" spans="1:17">
      <c r="A142" s="3">
        <v>383</v>
      </c>
      <c r="B142" s="2" t="s">
        <v>233</v>
      </c>
      <c r="C142" s="2" t="s">
        <v>19</v>
      </c>
      <c r="D142" s="2" t="s">
        <v>234</v>
      </c>
      <c r="E142" s="2" t="s">
        <v>35</v>
      </c>
      <c r="F142" s="4">
        <v>26.6</v>
      </c>
      <c r="G142" s="4">
        <v>4262.7</v>
      </c>
      <c r="H142" s="2" t="s">
        <v>29</v>
      </c>
      <c r="I142" s="2" t="s">
        <v>23</v>
      </c>
      <c r="J142" s="3">
        <v>210</v>
      </c>
      <c r="K142" s="5">
        <v>1.18</v>
      </c>
      <c r="L142" s="4">
        <v>53.6</v>
      </c>
      <c r="M142" s="4">
        <v>3104.1</v>
      </c>
      <c r="N142" s="4">
        <v>27.7</v>
      </c>
      <c r="O142" s="4">
        <v>9</v>
      </c>
      <c r="P142" s="4">
        <v>986</v>
      </c>
      <c r="Q142" s="5">
        <v>1.1599999999999999</v>
      </c>
    </row>
    <row r="143" spans="1:17">
      <c r="A143" s="3">
        <v>222</v>
      </c>
      <c r="B143" s="2" t="s">
        <v>174</v>
      </c>
      <c r="C143" s="2" t="s">
        <v>33</v>
      </c>
      <c r="D143" s="2" t="s">
        <v>142</v>
      </c>
      <c r="E143" s="2" t="s">
        <v>35</v>
      </c>
      <c r="F143" s="4">
        <v>22.4</v>
      </c>
      <c r="G143" s="4">
        <v>3304</v>
      </c>
      <c r="H143" s="2" t="s">
        <v>39</v>
      </c>
      <c r="I143" s="2" t="s">
        <v>23</v>
      </c>
      <c r="J143" s="3">
        <v>250</v>
      </c>
      <c r="K143" s="5">
        <v>1.03</v>
      </c>
      <c r="L143" s="4">
        <v>53.7</v>
      </c>
      <c r="M143" s="4">
        <v>2690.7</v>
      </c>
      <c r="N143" s="4">
        <v>32</v>
      </c>
      <c r="O143" s="4">
        <v>9.1999999999999993</v>
      </c>
      <c r="P143" s="4">
        <v>1175</v>
      </c>
      <c r="Q143" s="5">
        <v>1.21</v>
      </c>
    </row>
    <row r="144" spans="1:17">
      <c r="A144" s="3">
        <v>3</v>
      </c>
      <c r="B144" s="2" t="s">
        <v>25</v>
      </c>
      <c r="C144" s="2" t="s">
        <v>19</v>
      </c>
      <c r="D144" s="2" t="s">
        <v>26</v>
      </c>
      <c r="E144" s="2" t="s">
        <v>21</v>
      </c>
      <c r="F144" s="4">
        <v>15.3</v>
      </c>
      <c r="G144" s="4">
        <v>5344.1</v>
      </c>
      <c r="H144" s="2" t="s">
        <v>22</v>
      </c>
      <c r="I144" s="2" t="s">
        <v>23</v>
      </c>
      <c r="J144" s="3">
        <v>300</v>
      </c>
      <c r="K144" s="5">
        <v>0.87</v>
      </c>
      <c r="L144" s="4">
        <v>54</v>
      </c>
      <c r="M144" s="4">
        <v>2425.1</v>
      </c>
      <c r="N144" s="4">
        <v>35.5</v>
      </c>
      <c r="O144" s="4">
        <v>7.6</v>
      </c>
      <c r="P144" s="4">
        <v>1418.9</v>
      </c>
      <c r="Q144" s="5">
        <v>1.23</v>
      </c>
    </row>
    <row r="145" spans="1:17">
      <c r="A145" s="3">
        <v>99</v>
      </c>
      <c r="B145" s="2" t="s">
        <v>118</v>
      </c>
      <c r="C145" s="2" t="s">
        <v>51</v>
      </c>
      <c r="D145" s="2" t="s">
        <v>119</v>
      </c>
      <c r="E145" s="2" t="s">
        <v>35</v>
      </c>
      <c r="F145" s="4">
        <v>6.4</v>
      </c>
      <c r="G145" s="4">
        <v>3346</v>
      </c>
      <c r="H145" s="2" t="s">
        <v>39</v>
      </c>
      <c r="I145" s="2" t="s">
        <v>23</v>
      </c>
      <c r="J145" s="3">
        <v>600</v>
      </c>
      <c r="K145" s="5">
        <v>0.97</v>
      </c>
      <c r="L145" s="4">
        <v>54.2</v>
      </c>
      <c r="M145" s="4">
        <v>2543</v>
      </c>
      <c r="N145" s="4">
        <v>33.799999999999997</v>
      </c>
      <c r="O145" s="4">
        <v>6.4</v>
      </c>
      <c r="P145" s="4">
        <v>2851.2</v>
      </c>
      <c r="Q145" s="5">
        <v>2.76</v>
      </c>
    </row>
    <row r="146" spans="1:17">
      <c r="A146" s="3">
        <v>381</v>
      </c>
      <c r="B146" s="2" t="s">
        <v>245</v>
      </c>
      <c r="C146" s="2" t="s">
        <v>24</v>
      </c>
      <c r="D146" s="2" t="s">
        <v>144</v>
      </c>
      <c r="E146" s="2" t="s">
        <v>35</v>
      </c>
      <c r="F146" s="4">
        <v>29.4</v>
      </c>
      <c r="G146" s="4">
        <v>3111</v>
      </c>
      <c r="H146" s="2" t="s">
        <v>39</v>
      </c>
      <c r="I146" s="2" t="s">
        <v>23</v>
      </c>
      <c r="J146" s="3">
        <v>210</v>
      </c>
      <c r="K146" s="5">
        <v>1.17</v>
      </c>
      <c r="L146" s="4">
        <v>54.3</v>
      </c>
      <c r="M146" s="4">
        <v>3068.9</v>
      </c>
      <c r="N146" s="4">
        <v>28</v>
      </c>
      <c r="O146" s="4">
        <v>9.1999999999999993</v>
      </c>
      <c r="P146" s="4">
        <v>998.2</v>
      </c>
      <c r="Q146" s="5">
        <v>1.17</v>
      </c>
    </row>
    <row r="147" spans="1:17">
      <c r="A147" s="3">
        <v>324</v>
      </c>
      <c r="B147" s="2" t="s">
        <v>222</v>
      </c>
      <c r="C147" s="2" t="s">
        <v>41</v>
      </c>
      <c r="D147" s="2" t="s">
        <v>144</v>
      </c>
      <c r="E147" s="2" t="s">
        <v>35</v>
      </c>
      <c r="F147" s="4">
        <v>42.3</v>
      </c>
      <c r="G147" s="4">
        <v>2840</v>
      </c>
      <c r="H147" s="2" t="s">
        <v>43</v>
      </c>
      <c r="I147" s="2" t="s">
        <v>23</v>
      </c>
      <c r="J147" s="3">
        <v>210</v>
      </c>
      <c r="K147" s="5">
        <v>1.1000000000000001</v>
      </c>
      <c r="L147" s="4">
        <v>54.7</v>
      </c>
      <c r="M147" s="4">
        <v>2868.3</v>
      </c>
      <c r="N147" s="4">
        <v>30</v>
      </c>
      <c r="O147" s="4">
        <v>9.1</v>
      </c>
      <c r="P147" s="4">
        <v>1006.2</v>
      </c>
      <c r="Q147" s="5">
        <v>1.1000000000000001</v>
      </c>
    </row>
    <row r="148" spans="1:17">
      <c r="A148" s="3">
        <v>214</v>
      </c>
      <c r="B148" s="2" t="s">
        <v>161</v>
      </c>
      <c r="C148" s="2" t="s">
        <v>33</v>
      </c>
      <c r="D148" s="2" t="s">
        <v>162</v>
      </c>
      <c r="E148" s="2" t="s">
        <v>35</v>
      </c>
      <c r="F148" s="4">
        <v>45.4</v>
      </c>
      <c r="G148" s="4">
        <v>3465</v>
      </c>
      <c r="H148" s="2" t="s">
        <v>39</v>
      </c>
      <c r="I148" s="2" t="s">
        <v>23</v>
      </c>
      <c r="J148" s="3">
        <v>200</v>
      </c>
      <c r="K148" s="5">
        <v>1.02</v>
      </c>
      <c r="L148" s="4">
        <v>54.9</v>
      </c>
      <c r="M148" s="4">
        <v>2585.1999999999998</v>
      </c>
      <c r="N148" s="4">
        <v>33.299999999999997</v>
      </c>
      <c r="O148" s="4">
        <v>9.8000000000000007</v>
      </c>
      <c r="P148" s="4">
        <v>961</v>
      </c>
      <c r="Q148" s="5">
        <v>0.98</v>
      </c>
    </row>
    <row r="149" spans="1:17">
      <c r="A149" s="3">
        <v>260</v>
      </c>
      <c r="B149" s="2" t="s">
        <v>176</v>
      </c>
      <c r="C149" s="2" t="s">
        <v>41</v>
      </c>
      <c r="D149" s="2" t="s">
        <v>177</v>
      </c>
      <c r="E149" s="2" t="s">
        <v>21</v>
      </c>
      <c r="F149" s="4">
        <v>6.9</v>
      </c>
      <c r="G149" s="4">
        <v>3044</v>
      </c>
      <c r="H149" s="2" t="s">
        <v>39</v>
      </c>
      <c r="I149" s="2" t="s">
        <v>23</v>
      </c>
      <c r="J149" s="3">
        <v>360</v>
      </c>
      <c r="K149" s="5">
        <v>1.05</v>
      </c>
      <c r="L149" s="4">
        <v>54.9</v>
      </c>
      <c r="M149" s="4">
        <v>2766.8</v>
      </c>
      <c r="N149" s="4">
        <v>31.1</v>
      </c>
      <c r="O149" s="4">
        <v>10.1</v>
      </c>
      <c r="P149" s="4">
        <v>1730.6</v>
      </c>
      <c r="Q149" s="5">
        <v>1.82</v>
      </c>
    </row>
    <row r="150" spans="1:17">
      <c r="A150" s="3">
        <v>311</v>
      </c>
      <c r="B150" s="2" t="s">
        <v>190</v>
      </c>
      <c r="C150" s="2" t="s">
        <v>19</v>
      </c>
      <c r="D150" s="2" t="s">
        <v>191</v>
      </c>
      <c r="E150" s="2" t="s">
        <v>21</v>
      </c>
      <c r="F150" s="4">
        <v>15.2</v>
      </c>
      <c r="G150" s="4">
        <v>3387.4</v>
      </c>
      <c r="H150" s="2" t="s">
        <v>39</v>
      </c>
      <c r="I150" s="2" t="s">
        <v>23</v>
      </c>
      <c r="J150" s="3">
        <v>300</v>
      </c>
      <c r="K150" s="5">
        <v>1.08</v>
      </c>
      <c r="L150" s="4">
        <v>54.9</v>
      </c>
      <c r="M150" s="4">
        <v>2856.7</v>
      </c>
      <c r="N150" s="4">
        <v>30.1</v>
      </c>
      <c r="O150" s="4">
        <v>8.6999999999999993</v>
      </c>
      <c r="P150" s="4">
        <v>1443.1</v>
      </c>
      <c r="Q150" s="5">
        <v>1.56</v>
      </c>
    </row>
    <row r="151" spans="1:17">
      <c r="A151" s="3">
        <v>102</v>
      </c>
      <c r="B151" s="2" t="s">
        <v>120</v>
      </c>
      <c r="C151" s="2" t="s">
        <v>24</v>
      </c>
      <c r="D151" s="2" t="s">
        <v>114</v>
      </c>
      <c r="E151" s="2" t="s">
        <v>35</v>
      </c>
      <c r="F151" s="4">
        <v>13.8</v>
      </c>
      <c r="G151" s="4">
        <v>3291.1</v>
      </c>
      <c r="H151" s="2" t="s">
        <v>39</v>
      </c>
      <c r="I151" s="2" t="s">
        <v>23</v>
      </c>
      <c r="J151" s="3">
        <v>600</v>
      </c>
      <c r="K151" s="5">
        <v>0.97</v>
      </c>
      <c r="L151" s="4">
        <v>55.1</v>
      </c>
      <c r="M151" s="4">
        <v>2570.8000000000002</v>
      </c>
      <c r="N151" s="4">
        <v>33.4</v>
      </c>
      <c r="O151" s="4">
        <v>5.8</v>
      </c>
      <c r="P151" s="4">
        <v>2897.5</v>
      </c>
      <c r="Q151" s="5">
        <v>2.81</v>
      </c>
    </row>
    <row r="152" spans="1:17">
      <c r="A152" s="3">
        <v>231</v>
      </c>
      <c r="B152" s="2" t="s">
        <v>171</v>
      </c>
      <c r="C152" s="2" t="s">
        <v>51</v>
      </c>
      <c r="D152" s="2" t="s">
        <v>52</v>
      </c>
      <c r="E152" s="2" t="s">
        <v>35</v>
      </c>
      <c r="F152" s="4">
        <v>11.4</v>
      </c>
      <c r="G152" s="4">
        <v>3401</v>
      </c>
      <c r="H152" s="2" t="s">
        <v>39</v>
      </c>
      <c r="I152" s="2" t="s">
        <v>23</v>
      </c>
      <c r="J152" s="3">
        <v>250</v>
      </c>
      <c r="K152" s="5">
        <v>1.03</v>
      </c>
      <c r="L152" s="4">
        <v>55.3</v>
      </c>
      <c r="M152" s="4">
        <v>2720.8</v>
      </c>
      <c r="N152" s="4">
        <v>31.6</v>
      </c>
      <c r="O152" s="4">
        <v>10.4</v>
      </c>
      <c r="P152" s="4">
        <v>1210</v>
      </c>
      <c r="Q152" s="5">
        <v>1.25</v>
      </c>
    </row>
    <row r="153" spans="1:17">
      <c r="A153" s="3">
        <v>432</v>
      </c>
      <c r="B153" s="2" t="s">
        <v>267</v>
      </c>
      <c r="C153" s="2" t="s">
        <v>24</v>
      </c>
      <c r="D153" s="2" t="s">
        <v>268</v>
      </c>
      <c r="E153" s="2" t="s">
        <v>21</v>
      </c>
      <c r="F153" s="4">
        <v>5.2</v>
      </c>
      <c r="G153" s="4">
        <v>3120</v>
      </c>
      <c r="H153" s="2" t="s">
        <v>39</v>
      </c>
      <c r="I153" s="2" t="s">
        <v>23</v>
      </c>
      <c r="J153" s="3">
        <v>45</v>
      </c>
      <c r="K153" s="5">
        <v>1.3</v>
      </c>
      <c r="L153" s="4">
        <v>55.4</v>
      </c>
      <c r="M153" s="4">
        <v>3433</v>
      </c>
      <c r="N153" s="4">
        <v>25</v>
      </c>
      <c r="O153" s="4">
        <v>12.3</v>
      </c>
      <c r="P153" s="4">
        <v>218.2</v>
      </c>
      <c r="Q153" s="5">
        <v>0.28000000000000003</v>
      </c>
    </row>
    <row r="154" spans="1:17">
      <c r="A154" s="3">
        <v>114</v>
      </c>
      <c r="B154" s="2" t="s">
        <v>123</v>
      </c>
      <c r="C154" s="2" t="s">
        <v>51</v>
      </c>
      <c r="D154" s="2" t="s">
        <v>46</v>
      </c>
      <c r="E154" s="2" t="s">
        <v>47</v>
      </c>
      <c r="F154" s="4">
        <v>7.4</v>
      </c>
      <c r="G154" s="4">
        <v>3829.9</v>
      </c>
      <c r="H154" s="2" t="s">
        <v>36</v>
      </c>
      <c r="I154" s="2" t="s">
        <v>23</v>
      </c>
      <c r="J154" s="3">
        <v>500</v>
      </c>
      <c r="K154" s="5">
        <v>0.97</v>
      </c>
      <c r="L154" s="4">
        <v>55.6</v>
      </c>
      <c r="M154" s="4">
        <v>2590.3000000000002</v>
      </c>
      <c r="N154" s="4">
        <v>33.200000000000003</v>
      </c>
      <c r="O154" s="4">
        <v>6.8</v>
      </c>
      <c r="P154" s="4">
        <v>2436.4</v>
      </c>
      <c r="Q154" s="5">
        <v>2.37</v>
      </c>
    </row>
    <row r="155" spans="1:17">
      <c r="A155" s="3">
        <v>445</v>
      </c>
      <c r="B155" s="2" t="s">
        <v>270</v>
      </c>
      <c r="C155" s="2" t="s">
        <v>51</v>
      </c>
      <c r="D155" s="2" t="s">
        <v>247</v>
      </c>
      <c r="E155" s="2" t="s">
        <v>47</v>
      </c>
      <c r="F155" s="4">
        <v>31.8</v>
      </c>
      <c r="G155" s="4">
        <v>2556</v>
      </c>
      <c r="H155" s="2" t="s">
        <v>43</v>
      </c>
      <c r="I155" s="2" t="s">
        <v>238</v>
      </c>
      <c r="J155" s="3">
        <v>210</v>
      </c>
      <c r="K155" s="5">
        <v>1.45</v>
      </c>
      <c r="L155" s="4">
        <v>55.6</v>
      </c>
      <c r="M155" s="4">
        <v>3443.1</v>
      </c>
      <c r="N155" s="4">
        <v>25</v>
      </c>
      <c r="O155" s="4">
        <v>12.3</v>
      </c>
      <c r="P155" s="4">
        <v>1023.4</v>
      </c>
      <c r="Q155" s="5">
        <v>1.49</v>
      </c>
    </row>
    <row r="156" spans="1:17">
      <c r="A156" s="3">
        <v>332</v>
      </c>
      <c r="B156" s="2" t="s">
        <v>200</v>
      </c>
      <c r="C156" s="2" t="s">
        <v>41</v>
      </c>
      <c r="D156" s="2" t="s">
        <v>119</v>
      </c>
      <c r="E156" s="2" t="s">
        <v>35</v>
      </c>
      <c r="F156" s="4">
        <v>34.799999999999997</v>
      </c>
      <c r="G156" s="4">
        <v>2858</v>
      </c>
      <c r="H156" s="2" t="s">
        <v>43</v>
      </c>
      <c r="I156" s="2" t="s">
        <v>23</v>
      </c>
      <c r="J156" s="3">
        <v>210</v>
      </c>
      <c r="K156" s="5">
        <v>1.1000000000000001</v>
      </c>
      <c r="L156" s="4">
        <v>55.7</v>
      </c>
      <c r="M156" s="4">
        <v>2894.2</v>
      </c>
      <c r="N156" s="4">
        <v>29.7</v>
      </c>
      <c r="O156" s="4">
        <v>10.199999999999999</v>
      </c>
      <c r="P156" s="4">
        <v>1025</v>
      </c>
      <c r="Q156" s="5">
        <v>1.1299999999999999</v>
      </c>
    </row>
    <row r="157" spans="1:17">
      <c r="A157" s="3">
        <v>347</v>
      </c>
      <c r="B157" s="2" t="s">
        <v>228</v>
      </c>
      <c r="C157" s="2" t="s">
        <v>91</v>
      </c>
      <c r="D157" s="2" t="s">
        <v>52</v>
      </c>
      <c r="E157" s="2" t="s">
        <v>35</v>
      </c>
      <c r="F157" s="4">
        <v>45.6</v>
      </c>
      <c r="G157" s="4">
        <v>3430</v>
      </c>
      <c r="H157" s="2" t="s">
        <v>39</v>
      </c>
      <c r="I157" s="2" t="s">
        <v>23</v>
      </c>
      <c r="J157" s="3">
        <v>200</v>
      </c>
      <c r="K157" s="5">
        <v>1.1299999999999999</v>
      </c>
      <c r="L157" s="4">
        <v>55.7</v>
      </c>
      <c r="M157" s="4">
        <v>2959.1</v>
      </c>
      <c r="N157" s="4">
        <v>29.1</v>
      </c>
      <c r="O157" s="4">
        <v>10</v>
      </c>
      <c r="P157" s="4">
        <v>976</v>
      </c>
      <c r="Q157" s="5">
        <v>1.1000000000000001</v>
      </c>
    </row>
    <row r="158" spans="1:17">
      <c r="A158" s="3">
        <v>421</v>
      </c>
      <c r="B158" s="2" t="s">
        <v>261</v>
      </c>
      <c r="C158" s="2" t="s">
        <v>24</v>
      </c>
      <c r="D158" s="2" t="s">
        <v>262</v>
      </c>
      <c r="E158" s="2" t="s">
        <v>21</v>
      </c>
      <c r="F158" s="4">
        <v>7.7</v>
      </c>
      <c r="G158" s="4">
        <v>2156</v>
      </c>
      <c r="H158" s="2" t="s">
        <v>43</v>
      </c>
      <c r="I158" s="2" t="s">
        <v>23</v>
      </c>
      <c r="J158" s="3">
        <v>50</v>
      </c>
      <c r="K158" s="5">
        <v>1.23</v>
      </c>
      <c r="L158" s="4">
        <v>56</v>
      </c>
      <c r="M158" s="4">
        <v>3251.1</v>
      </c>
      <c r="N158" s="4">
        <v>26.4</v>
      </c>
      <c r="O158" s="4">
        <v>11.9</v>
      </c>
      <c r="P158" s="4">
        <v>245.4</v>
      </c>
      <c r="Q158" s="5">
        <v>0.3</v>
      </c>
    </row>
    <row r="159" spans="1:17">
      <c r="A159" s="3">
        <v>441</v>
      </c>
      <c r="B159" s="2" t="s">
        <v>270</v>
      </c>
      <c r="C159" s="2" t="s">
        <v>78</v>
      </c>
      <c r="D159" s="2" t="s">
        <v>247</v>
      </c>
      <c r="E159" s="2" t="s">
        <v>47</v>
      </c>
      <c r="F159" s="4">
        <v>32.6</v>
      </c>
      <c r="G159" s="4">
        <v>2556</v>
      </c>
      <c r="H159" s="2" t="s">
        <v>43</v>
      </c>
      <c r="I159" s="2" t="s">
        <v>238</v>
      </c>
      <c r="J159" s="3">
        <v>210</v>
      </c>
      <c r="K159" s="5">
        <v>1.42</v>
      </c>
      <c r="L159" s="4">
        <v>56.2</v>
      </c>
      <c r="M159" s="4">
        <v>3373.1</v>
      </c>
      <c r="N159" s="4">
        <v>25.5</v>
      </c>
      <c r="O159" s="4">
        <v>10.7</v>
      </c>
      <c r="P159" s="4">
        <v>1033</v>
      </c>
      <c r="Q159" s="5">
        <v>1.47</v>
      </c>
    </row>
    <row r="160" spans="1:17">
      <c r="A160" s="3">
        <v>183</v>
      </c>
      <c r="B160" s="2" t="s">
        <v>161</v>
      </c>
      <c r="C160" s="2" t="s">
        <v>51</v>
      </c>
      <c r="D160" s="2" t="s">
        <v>162</v>
      </c>
      <c r="E160" s="2" t="s">
        <v>35</v>
      </c>
      <c r="F160" s="4">
        <v>11.4</v>
      </c>
      <c r="G160" s="4">
        <v>3552</v>
      </c>
      <c r="H160" s="2" t="s">
        <v>36</v>
      </c>
      <c r="I160" s="2" t="s">
        <v>23</v>
      </c>
      <c r="J160" s="3">
        <v>500</v>
      </c>
      <c r="K160" s="5">
        <v>1</v>
      </c>
      <c r="L160" s="4">
        <v>56.3</v>
      </c>
      <c r="M160" s="4">
        <v>2569.3000000000002</v>
      </c>
      <c r="N160" s="4">
        <v>33.5</v>
      </c>
      <c r="O160" s="4">
        <v>7.3</v>
      </c>
      <c r="P160" s="4">
        <v>2465</v>
      </c>
      <c r="Q160" s="5">
        <v>2.46</v>
      </c>
    </row>
    <row r="161" spans="1:17">
      <c r="A161" s="3">
        <v>249</v>
      </c>
      <c r="B161" s="2" t="s">
        <v>181</v>
      </c>
      <c r="C161" s="2" t="s">
        <v>19</v>
      </c>
      <c r="D161" s="2" t="s">
        <v>116</v>
      </c>
      <c r="E161" s="2" t="s">
        <v>47</v>
      </c>
      <c r="F161" s="4">
        <v>28.6</v>
      </c>
      <c r="G161" s="4">
        <v>3430.8</v>
      </c>
      <c r="H161" s="2" t="s">
        <v>39</v>
      </c>
      <c r="I161" s="2" t="s">
        <v>23</v>
      </c>
      <c r="J161" s="3">
        <v>210</v>
      </c>
      <c r="K161" s="5">
        <v>1.04</v>
      </c>
      <c r="L161" s="4">
        <v>56.3</v>
      </c>
      <c r="M161" s="4">
        <v>2719.3</v>
      </c>
      <c r="N161" s="4">
        <v>31.6</v>
      </c>
      <c r="O161" s="4">
        <v>11.4</v>
      </c>
      <c r="P161" s="4">
        <v>1035.5999999999999</v>
      </c>
      <c r="Q161" s="5">
        <v>1.08</v>
      </c>
    </row>
    <row r="162" spans="1:17">
      <c r="A162" s="3">
        <v>257</v>
      </c>
      <c r="B162" s="2" t="s">
        <v>195</v>
      </c>
      <c r="C162" s="2" t="s">
        <v>24</v>
      </c>
      <c r="D162" s="2" t="s">
        <v>196</v>
      </c>
      <c r="E162" s="2" t="s">
        <v>21</v>
      </c>
      <c r="F162" s="4">
        <v>11.4</v>
      </c>
      <c r="G162" s="4">
        <v>3592</v>
      </c>
      <c r="H162" s="2" t="s">
        <v>36</v>
      </c>
      <c r="I162" s="2" t="s">
        <v>23</v>
      </c>
      <c r="J162" s="3">
        <v>250</v>
      </c>
      <c r="K162" s="5">
        <v>1.05</v>
      </c>
      <c r="L162" s="4">
        <v>56.3</v>
      </c>
      <c r="M162" s="4">
        <v>2756.6</v>
      </c>
      <c r="N162" s="4">
        <v>31.2</v>
      </c>
      <c r="O162" s="4">
        <v>8.4</v>
      </c>
      <c r="P162" s="4">
        <v>1234</v>
      </c>
      <c r="Q162" s="5">
        <v>1.29</v>
      </c>
    </row>
    <row r="163" spans="1:17">
      <c r="A163" s="3">
        <v>60</v>
      </c>
      <c r="B163" s="2" t="s">
        <v>94</v>
      </c>
      <c r="C163" s="2" t="s">
        <v>51</v>
      </c>
      <c r="D163" s="2" t="s">
        <v>46</v>
      </c>
      <c r="E163" s="2" t="s">
        <v>47</v>
      </c>
      <c r="F163" s="4">
        <v>14</v>
      </c>
      <c r="G163" s="4">
        <v>3805.9</v>
      </c>
      <c r="H163" s="2" t="s">
        <v>36</v>
      </c>
      <c r="I163" s="2" t="s">
        <v>23</v>
      </c>
      <c r="J163" s="3">
        <v>490</v>
      </c>
      <c r="K163" s="5">
        <v>0.95</v>
      </c>
      <c r="L163" s="4">
        <v>56.4</v>
      </c>
      <c r="M163" s="4">
        <v>2527.4</v>
      </c>
      <c r="N163" s="4">
        <v>34</v>
      </c>
      <c r="O163" s="4">
        <v>5.9</v>
      </c>
      <c r="P163" s="4">
        <v>2420.8000000000002</v>
      </c>
      <c r="Q163" s="5">
        <v>2.2999999999999998</v>
      </c>
    </row>
    <row r="164" spans="1:17">
      <c r="A164" s="3">
        <v>201</v>
      </c>
      <c r="B164" s="2" t="s">
        <v>169</v>
      </c>
      <c r="C164" s="2" t="s">
        <v>19</v>
      </c>
      <c r="D164" s="2" t="s">
        <v>170</v>
      </c>
      <c r="E164" s="2" t="s">
        <v>35</v>
      </c>
      <c r="F164" s="4">
        <v>10.7</v>
      </c>
      <c r="G164" s="4">
        <v>3331</v>
      </c>
      <c r="H164" s="2" t="s">
        <v>39</v>
      </c>
      <c r="I164" s="2" t="s">
        <v>23</v>
      </c>
      <c r="J164" s="3">
        <v>600</v>
      </c>
      <c r="K164" s="5">
        <v>1.01</v>
      </c>
      <c r="L164" s="4">
        <v>56.5</v>
      </c>
      <c r="M164" s="4">
        <v>2656.9</v>
      </c>
      <c r="N164" s="4">
        <v>32.4</v>
      </c>
      <c r="O164" s="4">
        <v>6.2</v>
      </c>
      <c r="P164" s="4">
        <v>2970</v>
      </c>
      <c r="Q164" s="5">
        <v>3</v>
      </c>
    </row>
    <row r="165" spans="1:17">
      <c r="A165" s="3">
        <v>248</v>
      </c>
      <c r="B165" s="2" t="s">
        <v>189</v>
      </c>
      <c r="C165" s="2" t="s">
        <v>24</v>
      </c>
      <c r="D165" s="2" t="s">
        <v>144</v>
      </c>
      <c r="E165" s="2" t="s">
        <v>35</v>
      </c>
      <c r="F165" s="4">
        <v>10.9</v>
      </c>
      <c r="G165" s="4">
        <v>3065.2</v>
      </c>
      <c r="H165" s="2" t="s">
        <v>39</v>
      </c>
      <c r="I165" s="2" t="s">
        <v>23</v>
      </c>
      <c r="J165" s="3">
        <v>600</v>
      </c>
      <c r="K165" s="5">
        <v>1.04</v>
      </c>
      <c r="L165" s="4">
        <v>56.5</v>
      </c>
      <c r="M165" s="4">
        <v>2752</v>
      </c>
      <c r="N165" s="4">
        <v>31.2</v>
      </c>
      <c r="O165" s="4">
        <v>7.4</v>
      </c>
      <c r="P165" s="4">
        <v>2970</v>
      </c>
      <c r="Q165" s="5">
        <v>3.09</v>
      </c>
    </row>
    <row r="166" spans="1:17">
      <c r="A166" s="3">
        <v>227</v>
      </c>
      <c r="B166" s="2" t="s">
        <v>94</v>
      </c>
      <c r="C166" s="2" t="s">
        <v>33</v>
      </c>
      <c r="D166" s="2" t="s">
        <v>46</v>
      </c>
      <c r="E166" s="2" t="s">
        <v>47</v>
      </c>
      <c r="F166" s="4">
        <v>30.4</v>
      </c>
      <c r="G166" s="4">
        <v>3783.4</v>
      </c>
      <c r="H166" s="2" t="s">
        <v>36</v>
      </c>
      <c r="I166" s="2" t="s">
        <v>23</v>
      </c>
      <c r="J166" s="3">
        <v>210</v>
      </c>
      <c r="K166" s="5">
        <v>1.03</v>
      </c>
      <c r="L166" s="4">
        <v>56.7</v>
      </c>
      <c r="M166" s="4">
        <v>2733.8</v>
      </c>
      <c r="N166" s="4">
        <v>31.5</v>
      </c>
      <c r="O166" s="4">
        <v>9</v>
      </c>
      <c r="P166" s="4">
        <v>1042.8</v>
      </c>
      <c r="Q166" s="5">
        <v>1.07</v>
      </c>
    </row>
    <row r="167" spans="1:17">
      <c r="A167" s="3">
        <v>320</v>
      </c>
      <c r="B167" s="2" t="s">
        <v>222</v>
      </c>
      <c r="C167" s="2" t="s">
        <v>33</v>
      </c>
      <c r="D167" s="2" t="s">
        <v>144</v>
      </c>
      <c r="E167" s="2" t="s">
        <v>35</v>
      </c>
      <c r="F167" s="4">
        <v>32.5</v>
      </c>
      <c r="G167" s="4">
        <v>2835</v>
      </c>
      <c r="H167" s="2" t="s">
        <v>43</v>
      </c>
      <c r="I167" s="2" t="s">
        <v>23</v>
      </c>
      <c r="J167" s="3">
        <v>210</v>
      </c>
      <c r="K167" s="5">
        <v>1.0900000000000001</v>
      </c>
      <c r="L167" s="4">
        <v>56.7</v>
      </c>
      <c r="M167" s="4">
        <v>2861.7</v>
      </c>
      <c r="N167" s="4">
        <v>30</v>
      </c>
      <c r="O167" s="4">
        <v>9.6999999999999993</v>
      </c>
      <c r="P167" s="4">
        <v>1043.5</v>
      </c>
      <c r="Q167" s="5">
        <v>1.1399999999999999</v>
      </c>
    </row>
    <row r="168" spans="1:17">
      <c r="A168" s="3">
        <v>370</v>
      </c>
      <c r="B168" s="2" t="s">
        <v>235</v>
      </c>
      <c r="C168" s="2" t="s">
        <v>78</v>
      </c>
      <c r="D168" s="2" t="s">
        <v>93</v>
      </c>
      <c r="E168" s="2" t="s">
        <v>35</v>
      </c>
      <c r="F168" s="4">
        <v>33.4</v>
      </c>
      <c r="G168" s="4">
        <v>3277</v>
      </c>
      <c r="H168" s="2" t="s">
        <v>39</v>
      </c>
      <c r="I168" s="2" t="s">
        <v>23</v>
      </c>
      <c r="J168" s="3">
        <v>210</v>
      </c>
      <c r="K168" s="5">
        <v>1.1499999999999999</v>
      </c>
      <c r="L168" s="4">
        <v>56.8</v>
      </c>
      <c r="M168" s="4">
        <v>3035.5</v>
      </c>
      <c r="N168" s="4">
        <v>28.3</v>
      </c>
      <c r="O168" s="4">
        <v>11.1</v>
      </c>
      <c r="P168" s="4">
        <v>1045</v>
      </c>
      <c r="Q168" s="5">
        <v>1.21</v>
      </c>
    </row>
    <row r="169" spans="1:17">
      <c r="A169" s="3">
        <v>97</v>
      </c>
      <c r="B169" s="2" t="s">
        <v>115</v>
      </c>
      <c r="C169" s="2" t="s">
        <v>24</v>
      </c>
      <c r="D169" s="2" t="s">
        <v>116</v>
      </c>
      <c r="E169" s="2" t="s">
        <v>47</v>
      </c>
      <c r="F169" s="4">
        <v>8.6</v>
      </c>
      <c r="G169" s="4">
        <v>3651.6</v>
      </c>
      <c r="H169" s="2" t="s">
        <v>36</v>
      </c>
      <c r="I169" s="2" t="s">
        <v>23</v>
      </c>
      <c r="J169" s="3">
        <v>600</v>
      </c>
      <c r="K169" s="5">
        <v>0.97</v>
      </c>
      <c r="L169" s="4">
        <v>56.9</v>
      </c>
      <c r="M169" s="4">
        <v>2556.1</v>
      </c>
      <c r="N169" s="4">
        <v>33.6</v>
      </c>
      <c r="O169" s="4">
        <v>6.1</v>
      </c>
      <c r="P169" s="4">
        <v>2988.7</v>
      </c>
      <c r="Q169" s="5">
        <v>2.89</v>
      </c>
    </row>
    <row r="170" spans="1:17">
      <c r="A170" s="3">
        <v>380</v>
      </c>
      <c r="B170" s="2" t="s">
        <v>125</v>
      </c>
      <c r="C170" s="2" t="s">
        <v>24</v>
      </c>
      <c r="D170" s="2" t="s">
        <v>126</v>
      </c>
      <c r="E170" s="2" t="s">
        <v>35</v>
      </c>
      <c r="F170" s="4">
        <v>30.4</v>
      </c>
      <c r="G170" s="4">
        <v>3723</v>
      </c>
      <c r="H170" s="2" t="s">
        <v>36</v>
      </c>
      <c r="I170" s="2" t="s">
        <v>23</v>
      </c>
      <c r="J170" s="3">
        <v>210</v>
      </c>
      <c r="K170" s="5">
        <v>1.17</v>
      </c>
      <c r="L170" s="4">
        <v>57.1</v>
      </c>
      <c r="M170" s="4">
        <v>3083.5</v>
      </c>
      <c r="N170" s="4">
        <v>27.9</v>
      </c>
      <c r="O170" s="4">
        <v>9.5</v>
      </c>
      <c r="P170" s="4">
        <v>1049.5999999999999</v>
      </c>
      <c r="Q170" s="5">
        <v>1.23</v>
      </c>
    </row>
    <row r="171" spans="1:17">
      <c r="A171" s="3">
        <v>6</v>
      </c>
      <c r="B171" s="2" t="s">
        <v>30</v>
      </c>
      <c r="C171" s="2" t="s">
        <v>19</v>
      </c>
      <c r="D171" s="2" t="s">
        <v>31</v>
      </c>
      <c r="E171" s="2" t="s">
        <v>21</v>
      </c>
      <c r="F171" s="4">
        <v>40.5</v>
      </c>
      <c r="G171" s="4">
        <v>4445</v>
      </c>
      <c r="H171" s="2" t="s">
        <v>29</v>
      </c>
      <c r="I171" s="2" t="s">
        <v>23</v>
      </c>
      <c r="J171" s="3">
        <v>500</v>
      </c>
      <c r="K171" s="5">
        <v>0.89</v>
      </c>
      <c r="L171" s="4">
        <v>57.2</v>
      </c>
      <c r="M171" s="4">
        <v>2495.6</v>
      </c>
      <c r="N171" s="4">
        <v>34.5</v>
      </c>
      <c r="O171" s="4">
        <v>6.1</v>
      </c>
      <c r="P171" s="4">
        <v>2507</v>
      </c>
      <c r="Q171" s="5">
        <v>2.2400000000000002</v>
      </c>
    </row>
    <row r="172" spans="1:17">
      <c r="A172" s="3">
        <v>151</v>
      </c>
      <c r="B172" s="2" t="s">
        <v>145</v>
      </c>
      <c r="C172" s="2" t="s">
        <v>19</v>
      </c>
      <c r="D172" s="2" t="s">
        <v>146</v>
      </c>
      <c r="E172" s="2" t="s">
        <v>47</v>
      </c>
      <c r="F172" s="4">
        <v>13.8</v>
      </c>
      <c r="G172" s="4">
        <v>3772.7</v>
      </c>
      <c r="H172" s="2" t="s">
        <v>36</v>
      </c>
      <c r="I172" s="2" t="s">
        <v>23</v>
      </c>
      <c r="J172" s="3">
        <v>500</v>
      </c>
      <c r="K172" s="5">
        <v>0.98</v>
      </c>
      <c r="L172" s="4">
        <v>57.2</v>
      </c>
      <c r="M172" s="4">
        <v>2592</v>
      </c>
      <c r="N172" s="4">
        <v>33.200000000000003</v>
      </c>
      <c r="O172" s="4">
        <v>6.1</v>
      </c>
      <c r="P172" s="4">
        <v>2507.5</v>
      </c>
      <c r="Q172" s="5">
        <v>2.4700000000000002</v>
      </c>
    </row>
    <row r="173" spans="1:17">
      <c r="A173" s="3">
        <v>252</v>
      </c>
      <c r="B173" s="2" t="s">
        <v>190</v>
      </c>
      <c r="C173" s="2" t="s">
        <v>24</v>
      </c>
      <c r="D173" s="2" t="s">
        <v>191</v>
      </c>
      <c r="E173" s="2" t="s">
        <v>21</v>
      </c>
      <c r="F173" s="4">
        <v>14.4</v>
      </c>
      <c r="G173" s="4">
        <v>3395.6</v>
      </c>
      <c r="H173" s="2" t="s">
        <v>39</v>
      </c>
      <c r="I173" s="2" t="s">
        <v>23</v>
      </c>
      <c r="J173" s="3">
        <v>300</v>
      </c>
      <c r="K173" s="5">
        <v>1.04</v>
      </c>
      <c r="L173" s="4">
        <v>57.6</v>
      </c>
      <c r="M173" s="4">
        <v>2755</v>
      </c>
      <c r="N173" s="4">
        <v>31.2</v>
      </c>
      <c r="O173" s="4">
        <v>8.6</v>
      </c>
      <c r="P173" s="4">
        <v>1513.4</v>
      </c>
      <c r="Q173" s="5">
        <v>1.58</v>
      </c>
    </row>
    <row r="174" spans="1:17">
      <c r="A174" s="3">
        <v>286</v>
      </c>
      <c r="B174" s="2" t="s">
        <v>211</v>
      </c>
      <c r="C174" s="2" t="s">
        <v>19</v>
      </c>
      <c r="D174" s="2" t="s">
        <v>142</v>
      </c>
      <c r="E174" s="2" t="s">
        <v>35</v>
      </c>
      <c r="F174" s="4">
        <v>10.3</v>
      </c>
      <c r="G174" s="4">
        <v>3902.6</v>
      </c>
      <c r="H174" s="2" t="s">
        <v>36</v>
      </c>
      <c r="I174" s="2" t="s">
        <v>23</v>
      </c>
      <c r="J174" s="3">
        <v>600</v>
      </c>
      <c r="K174" s="5">
        <v>1.07</v>
      </c>
      <c r="L174" s="4">
        <v>57.6</v>
      </c>
      <c r="M174" s="4">
        <v>2812.5</v>
      </c>
      <c r="N174" s="4">
        <v>30.6</v>
      </c>
      <c r="O174" s="4">
        <v>7.3</v>
      </c>
      <c r="P174" s="4">
        <v>3029.4</v>
      </c>
      <c r="Q174" s="5">
        <v>3.24</v>
      </c>
    </row>
    <row r="175" spans="1:17">
      <c r="A175" s="3">
        <v>337</v>
      </c>
      <c r="B175" s="2" t="s">
        <v>200</v>
      </c>
      <c r="C175" s="2" t="s">
        <v>19</v>
      </c>
      <c r="D175" s="2" t="s">
        <v>119</v>
      </c>
      <c r="E175" s="2" t="s">
        <v>35</v>
      </c>
      <c r="F175" s="4">
        <v>44.8</v>
      </c>
      <c r="G175" s="4">
        <v>2819</v>
      </c>
      <c r="H175" s="2" t="s">
        <v>43</v>
      </c>
      <c r="I175" s="2" t="s">
        <v>23</v>
      </c>
      <c r="J175" s="3">
        <v>210</v>
      </c>
      <c r="K175" s="5">
        <v>1.1100000000000001</v>
      </c>
      <c r="L175" s="4">
        <v>57.7</v>
      </c>
      <c r="M175" s="4">
        <v>2898.6</v>
      </c>
      <c r="N175" s="4">
        <v>29.7</v>
      </c>
      <c r="O175" s="4">
        <v>10.7</v>
      </c>
      <c r="P175" s="4">
        <v>1062</v>
      </c>
      <c r="Q175" s="5">
        <v>1.17</v>
      </c>
    </row>
    <row r="176" spans="1:17">
      <c r="A176" s="3">
        <v>442</v>
      </c>
      <c r="B176" s="2" t="s">
        <v>270</v>
      </c>
      <c r="C176" s="2" t="s">
        <v>41</v>
      </c>
      <c r="D176" s="2" t="s">
        <v>247</v>
      </c>
      <c r="E176" s="2" t="s">
        <v>47</v>
      </c>
      <c r="F176" s="4">
        <v>38.4</v>
      </c>
      <c r="G176" s="4">
        <v>2556</v>
      </c>
      <c r="H176" s="2" t="s">
        <v>43</v>
      </c>
      <c r="I176" s="2" t="s">
        <v>238</v>
      </c>
      <c r="J176" s="3">
        <v>210</v>
      </c>
      <c r="K176" s="5">
        <v>1.44</v>
      </c>
      <c r="L176" s="4">
        <v>57.7</v>
      </c>
      <c r="M176" s="4">
        <v>3418.6</v>
      </c>
      <c r="N176" s="4">
        <v>25.2</v>
      </c>
      <c r="O176" s="4">
        <v>11.8</v>
      </c>
      <c r="P176" s="4">
        <v>1060.7</v>
      </c>
      <c r="Q176" s="5">
        <v>1.53</v>
      </c>
    </row>
    <row r="177" spans="1:17">
      <c r="A177" s="3">
        <v>212</v>
      </c>
      <c r="B177" s="2" t="s">
        <v>172</v>
      </c>
      <c r="C177" s="2" t="s">
        <v>24</v>
      </c>
      <c r="D177" s="2" t="s">
        <v>173</v>
      </c>
      <c r="E177" s="2" t="s">
        <v>21</v>
      </c>
      <c r="F177" s="4">
        <v>13.8</v>
      </c>
      <c r="G177" s="4">
        <v>3165</v>
      </c>
      <c r="H177" s="2" t="s">
        <v>39</v>
      </c>
      <c r="I177" s="2" t="s">
        <v>23</v>
      </c>
      <c r="J177" s="3">
        <v>600</v>
      </c>
      <c r="K177" s="5">
        <v>1.02</v>
      </c>
      <c r="L177" s="4">
        <v>58</v>
      </c>
      <c r="M177" s="4">
        <v>2685.1</v>
      </c>
      <c r="N177" s="4">
        <v>32</v>
      </c>
      <c r="O177" s="4">
        <v>8.3000000000000007</v>
      </c>
      <c r="P177" s="4">
        <v>3046.3</v>
      </c>
      <c r="Q177" s="5">
        <v>3.1</v>
      </c>
    </row>
    <row r="178" spans="1:17">
      <c r="A178" s="3">
        <v>131</v>
      </c>
      <c r="B178" s="2" t="s">
        <v>131</v>
      </c>
      <c r="C178" s="2" t="s">
        <v>24</v>
      </c>
      <c r="D178" s="2" t="s">
        <v>20</v>
      </c>
      <c r="E178" s="2" t="s">
        <v>21</v>
      </c>
      <c r="F178" s="4">
        <v>16.399999999999999</v>
      </c>
      <c r="G178" s="4">
        <v>2891.6</v>
      </c>
      <c r="H178" s="2" t="s">
        <v>43</v>
      </c>
      <c r="I178" s="2" t="s">
        <v>23</v>
      </c>
      <c r="J178" s="3">
        <v>250</v>
      </c>
      <c r="K178" s="5">
        <v>0.98</v>
      </c>
      <c r="L178" s="4">
        <v>58.1</v>
      </c>
      <c r="M178" s="4">
        <v>2585.1999999999998</v>
      </c>
      <c r="N178" s="4">
        <v>33.299999999999997</v>
      </c>
      <c r="O178" s="4">
        <v>10.3</v>
      </c>
      <c r="P178" s="4">
        <v>1272.4000000000001</v>
      </c>
      <c r="Q178" s="5">
        <v>1.25</v>
      </c>
    </row>
    <row r="179" spans="1:17">
      <c r="A179" s="3">
        <v>244</v>
      </c>
      <c r="B179" s="2" t="s">
        <v>188</v>
      </c>
      <c r="C179" s="2" t="s">
        <v>41</v>
      </c>
      <c r="D179" s="2" t="s">
        <v>58</v>
      </c>
      <c r="E179" s="2" t="s">
        <v>35</v>
      </c>
      <c r="F179" s="4">
        <v>14.4</v>
      </c>
      <c r="G179" s="4">
        <v>3154</v>
      </c>
      <c r="H179" s="2" t="s">
        <v>39</v>
      </c>
      <c r="I179" s="2" t="s">
        <v>23</v>
      </c>
      <c r="J179" s="3">
        <v>250</v>
      </c>
      <c r="K179" s="5">
        <v>1.04</v>
      </c>
      <c r="L179" s="4">
        <v>58.3</v>
      </c>
      <c r="M179" s="4">
        <v>2722.5</v>
      </c>
      <c r="N179" s="4">
        <v>31.6</v>
      </c>
      <c r="O179" s="4">
        <v>11.1</v>
      </c>
      <c r="P179" s="4">
        <v>1277.8</v>
      </c>
      <c r="Q179" s="5">
        <v>1.33</v>
      </c>
    </row>
    <row r="180" spans="1:17">
      <c r="A180" s="3">
        <v>390</v>
      </c>
      <c r="B180" s="2" t="s">
        <v>236</v>
      </c>
      <c r="C180" s="2" t="s">
        <v>24</v>
      </c>
      <c r="D180" s="2" t="s">
        <v>237</v>
      </c>
      <c r="E180" s="2" t="s">
        <v>21</v>
      </c>
      <c r="F180" s="4">
        <v>24.8</v>
      </c>
      <c r="G180" s="4">
        <v>2588.1999999999998</v>
      </c>
      <c r="H180" s="2" t="s">
        <v>43</v>
      </c>
      <c r="I180" s="2" t="s">
        <v>238</v>
      </c>
      <c r="J180" s="3">
        <v>125</v>
      </c>
      <c r="K180" s="5">
        <v>1.19</v>
      </c>
      <c r="L180" s="4">
        <v>58.4</v>
      </c>
      <c r="M180" s="4">
        <v>3118</v>
      </c>
      <c r="N180" s="4">
        <v>27.6</v>
      </c>
      <c r="O180" s="4">
        <v>13.9</v>
      </c>
      <c r="P180" s="4">
        <v>640</v>
      </c>
      <c r="Q180" s="5">
        <v>0.76</v>
      </c>
    </row>
    <row r="181" spans="1:17">
      <c r="A181" s="3">
        <v>247</v>
      </c>
      <c r="B181" s="2" t="s">
        <v>178</v>
      </c>
      <c r="C181" s="2" t="s">
        <v>41</v>
      </c>
      <c r="D181" s="2" t="s">
        <v>144</v>
      </c>
      <c r="E181" s="2" t="s">
        <v>35</v>
      </c>
      <c r="F181" s="4">
        <v>35.4</v>
      </c>
      <c r="G181" s="4">
        <v>3035</v>
      </c>
      <c r="H181" s="2" t="s">
        <v>39</v>
      </c>
      <c r="I181" s="2" t="s">
        <v>23</v>
      </c>
      <c r="J181" s="3">
        <v>210</v>
      </c>
      <c r="K181" s="5">
        <v>1.04</v>
      </c>
      <c r="L181" s="4">
        <v>58.5</v>
      </c>
      <c r="M181" s="4">
        <v>2731.4</v>
      </c>
      <c r="N181" s="4">
        <v>31.5</v>
      </c>
      <c r="O181" s="4">
        <v>8.6999999999999993</v>
      </c>
      <c r="P181" s="4">
        <v>1076.4000000000001</v>
      </c>
      <c r="Q181" s="5">
        <v>1.1200000000000001</v>
      </c>
    </row>
    <row r="182" spans="1:17">
      <c r="A182" s="3">
        <v>372</v>
      </c>
      <c r="B182" s="2" t="s">
        <v>228</v>
      </c>
      <c r="C182" s="2" t="s">
        <v>63</v>
      </c>
      <c r="D182" s="2" t="s">
        <v>52</v>
      </c>
      <c r="E182" s="2" t="s">
        <v>35</v>
      </c>
      <c r="F182" s="4">
        <v>44.5</v>
      </c>
      <c r="G182" s="4">
        <v>3430</v>
      </c>
      <c r="H182" s="2" t="s">
        <v>39</v>
      </c>
      <c r="I182" s="2" t="s">
        <v>23</v>
      </c>
      <c r="J182" s="3">
        <v>200</v>
      </c>
      <c r="K182" s="5">
        <v>1.1599999999999999</v>
      </c>
      <c r="L182" s="4">
        <v>58.8</v>
      </c>
      <c r="M182" s="4">
        <v>3037.4</v>
      </c>
      <c r="N182" s="4">
        <v>28.3</v>
      </c>
      <c r="O182" s="4">
        <v>10.9</v>
      </c>
      <c r="P182" s="4">
        <v>1031</v>
      </c>
      <c r="Q182" s="5">
        <v>1.19</v>
      </c>
    </row>
    <row r="183" spans="1:17">
      <c r="A183" s="3">
        <v>123</v>
      </c>
      <c r="B183" s="2" t="s">
        <v>124</v>
      </c>
      <c r="C183" s="2" t="s">
        <v>51</v>
      </c>
      <c r="D183" s="2" t="s">
        <v>46</v>
      </c>
      <c r="E183" s="2" t="s">
        <v>47</v>
      </c>
      <c r="F183" s="4">
        <v>13.4</v>
      </c>
      <c r="G183" s="4">
        <v>3917.1</v>
      </c>
      <c r="H183" s="2" t="s">
        <v>36</v>
      </c>
      <c r="I183" s="2" t="s">
        <v>23</v>
      </c>
      <c r="J183" s="3">
        <v>500</v>
      </c>
      <c r="K183" s="5">
        <v>0.98</v>
      </c>
      <c r="L183" s="4">
        <v>58.9</v>
      </c>
      <c r="M183" s="4">
        <v>2579.5</v>
      </c>
      <c r="N183" s="4">
        <v>33.299999999999997</v>
      </c>
      <c r="O183" s="4">
        <v>6.3</v>
      </c>
      <c r="P183" s="4">
        <v>2578.3000000000002</v>
      </c>
      <c r="Q183" s="5">
        <v>2.52</v>
      </c>
    </row>
    <row r="184" spans="1:17">
      <c r="A184" s="3">
        <v>12</v>
      </c>
      <c r="B184" s="2" t="s">
        <v>40</v>
      </c>
      <c r="C184" s="2" t="s">
        <v>19</v>
      </c>
      <c r="D184" s="2" t="s">
        <v>42</v>
      </c>
      <c r="E184" s="2" t="s">
        <v>21</v>
      </c>
      <c r="F184" s="4">
        <v>10.4</v>
      </c>
      <c r="G184" s="4">
        <v>2993.3</v>
      </c>
      <c r="H184" s="2" t="s">
        <v>43</v>
      </c>
      <c r="I184" s="2" t="s">
        <v>23</v>
      </c>
      <c r="J184" s="3">
        <v>600</v>
      </c>
      <c r="K184" s="5">
        <v>0.92</v>
      </c>
      <c r="L184" s="4">
        <v>59.1</v>
      </c>
      <c r="M184" s="4">
        <v>2433</v>
      </c>
      <c r="N184" s="4">
        <v>35.299999999999997</v>
      </c>
      <c r="O184" s="4">
        <v>5.3</v>
      </c>
      <c r="P184" s="4">
        <v>3108.9</v>
      </c>
      <c r="Q184" s="5">
        <v>2.86</v>
      </c>
    </row>
    <row r="185" spans="1:17">
      <c r="A185" s="3">
        <v>384</v>
      </c>
      <c r="B185" s="2" t="s">
        <v>125</v>
      </c>
      <c r="C185" s="2" t="s">
        <v>19</v>
      </c>
      <c r="D185" s="2" t="s">
        <v>126</v>
      </c>
      <c r="E185" s="2" t="s">
        <v>35</v>
      </c>
      <c r="F185" s="4">
        <v>31.4</v>
      </c>
      <c r="G185" s="4">
        <v>3723</v>
      </c>
      <c r="H185" s="2" t="s">
        <v>36</v>
      </c>
      <c r="I185" s="2" t="s">
        <v>23</v>
      </c>
      <c r="J185" s="3">
        <v>210</v>
      </c>
      <c r="K185" s="5">
        <v>1.18</v>
      </c>
      <c r="L185" s="4">
        <v>59.4</v>
      </c>
      <c r="M185" s="4">
        <v>3098.9</v>
      </c>
      <c r="N185" s="4">
        <v>27.7</v>
      </c>
      <c r="O185" s="4">
        <v>9.9</v>
      </c>
      <c r="P185" s="4">
        <v>1093</v>
      </c>
      <c r="Q185" s="5">
        <v>1.29</v>
      </c>
    </row>
    <row r="186" spans="1:17">
      <c r="A186" s="3">
        <v>213</v>
      </c>
      <c r="B186" s="2" t="s">
        <v>174</v>
      </c>
      <c r="C186" s="2" t="s">
        <v>51</v>
      </c>
      <c r="D186" s="2" t="s">
        <v>142</v>
      </c>
      <c r="E186" s="2" t="s">
        <v>35</v>
      </c>
      <c r="F186" s="4">
        <v>14.9</v>
      </c>
      <c r="G186" s="4">
        <v>3330</v>
      </c>
      <c r="H186" s="2" t="s">
        <v>39</v>
      </c>
      <c r="I186" s="2" t="s">
        <v>23</v>
      </c>
      <c r="J186" s="3">
        <v>250</v>
      </c>
      <c r="K186" s="5">
        <v>1.02</v>
      </c>
      <c r="L186" s="4">
        <v>59.5</v>
      </c>
      <c r="M186" s="4">
        <v>2672.7</v>
      </c>
      <c r="N186" s="4">
        <v>32.200000000000003</v>
      </c>
      <c r="O186" s="4">
        <v>8.9</v>
      </c>
      <c r="P186" s="4">
        <v>1303.8</v>
      </c>
      <c r="Q186" s="5">
        <v>1.33</v>
      </c>
    </row>
    <row r="187" spans="1:17">
      <c r="A187" s="3">
        <v>287</v>
      </c>
      <c r="B187" s="2" t="s">
        <v>212</v>
      </c>
      <c r="C187" s="2" t="s">
        <v>51</v>
      </c>
      <c r="D187" s="2" t="s">
        <v>58</v>
      </c>
      <c r="E187" s="2" t="s">
        <v>35</v>
      </c>
      <c r="F187" s="4">
        <v>17.5</v>
      </c>
      <c r="G187" s="4">
        <v>3234</v>
      </c>
      <c r="H187" s="2" t="s">
        <v>39</v>
      </c>
      <c r="I187" s="2" t="s">
        <v>23</v>
      </c>
      <c r="J187" s="3">
        <v>250</v>
      </c>
      <c r="K187" s="5">
        <v>1.07</v>
      </c>
      <c r="L187" s="4">
        <v>59.5</v>
      </c>
      <c r="M187" s="4">
        <v>2797.2</v>
      </c>
      <c r="N187" s="4">
        <v>30.7</v>
      </c>
      <c r="O187" s="4">
        <v>11.5</v>
      </c>
      <c r="P187" s="4">
        <v>1303</v>
      </c>
      <c r="Q187" s="5">
        <v>1.39</v>
      </c>
    </row>
    <row r="188" spans="1:17">
      <c r="A188" s="3">
        <v>158</v>
      </c>
      <c r="B188" s="2" t="s">
        <v>132</v>
      </c>
      <c r="C188" s="2" t="s">
        <v>24</v>
      </c>
      <c r="D188" s="2" t="s">
        <v>133</v>
      </c>
      <c r="E188" s="2" t="s">
        <v>21</v>
      </c>
      <c r="F188" s="4">
        <v>10</v>
      </c>
      <c r="G188" s="4">
        <v>3708</v>
      </c>
      <c r="H188" s="2" t="s">
        <v>36</v>
      </c>
      <c r="I188" s="2" t="s">
        <v>23</v>
      </c>
      <c r="J188" s="3">
        <v>600</v>
      </c>
      <c r="K188" s="5">
        <v>0.99</v>
      </c>
      <c r="L188" s="4">
        <v>59.6</v>
      </c>
      <c r="M188" s="4">
        <v>2603.1</v>
      </c>
      <c r="N188" s="4">
        <v>33</v>
      </c>
      <c r="O188" s="4">
        <v>7.2</v>
      </c>
      <c r="P188" s="4">
        <v>3134</v>
      </c>
      <c r="Q188" s="5">
        <v>3.1</v>
      </c>
    </row>
    <row r="189" spans="1:17">
      <c r="A189" s="3">
        <v>440</v>
      </c>
      <c r="B189" s="2" t="s">
        <v>270</v>
      </c>
      <c r="C189" s="2" t="s">
        <v>33</v>
      </c>
      <c r="D189" s="2" t="s">
        <v>247</v>
      </c>
      <c r="E189" s="2" t="s">
        <v>47</v>
      </c>
      <c r="F189" s="4">
        <v>33.4</v>
      </c>
      <c r="G189" s="4">
        <v>2556</v>
      </c>
      <c r="H189" s="2" t="s">
        <v>43</v>
      </c>
      <c r="I189" s="2" t="s">
        <v>238</v>
      </c>
      <c r="J189" s="3">
        <v>210</v>
      </c>
      <c r="K189" s="5">
        <v>1.37</v>
      </c>
      <c r="L189" s="4">
        <v>59.6</v>
      </c>
      <c r="M189" s="4">
        <v>3248.8</v>
      </c>
      <c r="N189" s="4">
        <v>26.5</v>
      </c>
      <c r="O189" s="4">
        <v>7.1</v>
      </c>
      <c r="P189" s="4">
        <v>1096.0999999999999</v>
      </c>
      <c r="Q189" s="5">
        <v>1.5</v>
      </c>
    </row>
    <row r="190" spans="1:17">
      <c r="A190" s="3">
        <v>360</v>
      </c>
      <c r="B190" s="2" t="s">
        <v>236</v>
      </c>
      <c r="C190" s="2" t="s">
        <v>33</v>
      </c>
      <c r="D190" s="2" t="s">
        <v>237</v>
      </c>
      <c r="E190" s="2" t="s">
        <v>21</v>
      </c>
      <c r="F190" s="4">
        <v>14.3</v>
      </c>
      <c r="G190" s="4">
        <v>2611.6999999999998</v>
      </c>
      <c r="H190" s="2" t="s">
        <v>43</v>
      </c>
      <c r="I190" s="2" t="s">
        <v>238</v>
      </c>
      <c r="J190" s="3">
        <v>125</v>
      </c>
      <c r="K190" s="5">
        <v>1.1399999999999999</v>
      </c>
      <c r="L190" s="4">
        <v>59.7</v>
      </c>
      <c r="M190" s="4">
        <v>3055</v>
      </c>
      <c r="N190" s="4">
        <v>28.1</v>
      </c>
      <c r="O190" s="4">
        <v>13.3</v>
      </c>
      <c r="P190" s="4">
        <v>654</v>
      </c>
      <c r="Q190" s="5">
        <v>0.75</v>
      </c>
    </row>
    <row r="191" spans="1:17">
      <c r="A191" s="3">
        <v>242</v>
      </c>
      <c r="B191" s="2" t="s">
        <v>186</v>
      </c>
      <c r="C191" s="2" t="s">
        <v>19</v>
      </c>
      <c r="D191" s="2" t="s">
        <v>187</v>
      </c>
      <c r="E191" s="2" t="s">
        <v>47</v>
      </c>
      <c r="F191" s="4">
        <v>9.4</v>
      </c>
      <c r="G191" s="4">
        <v>3596.7</v>
      </c>
      <c r="H191" s="2" t="s">
        <v>36</v>
      </c>
      <c r="I191" s="2" t="s">
        <v>23</v>
      </c>
      <c r="J191" s="3">
        <v>500</v>
      </c>
      <c r="K191" s="5">
        <v>1.04</v>
      </c>
      <c r="L191" s="4">
        <v>59.8</v>
      </c>
      <c r="M191" s="4">
        <v>2775</v>
      </c>
      <c r="N191" s="4">
        <v>31</v>
      </c>
      <c r="O191" s="4">
        <v>6.8</v>
      </c>
      <c r="P191" s="4">
        <v>2618.6999999999998</v>
      </c>
      <c r="Q191" s="5">
        <v>2.72</v>
      </c>
    </row>
    <row r="192" spans="1:17">
      <c r="A192" s="3">
        <v>269</v>
      </c>
      <c r="B192" s="2" t="s">
        <v>124</v>
      </c>
      <c r="C192" s="2" t="s">
        <v>24</v>
      </c>
      <c r="D192" s="2" t="s">
        <v>46</v>
      </c>
      <c r="E192" s="2" t="s">
        <v>47</v>
      </c>
      <c r="F192" s="4">
        <v>37.6</v>
      </c>
      <c r="G192" s="4">
        <v>3935.3</v>
      </c>
      <c r="H192" s="2" t="s">
        <v>36</v>
      </c>
      <c r="I192" s="2" t="s">
        <v>23</v>
      </c>
      <c r="J192" s="3">
        <v>200</v>
      </c>
      <c r="K192" s="5">
        <v>1.06</v>
      </c>
      <c r="L192" s="4">
        <v>60.1</v>
      </c>
      <c r="M192" s="4">
        <v>2805.8</v>
      </c>
      <c r="N192" s="4">
        <v>30.6</v>
      </c>
      <c r="O192" s="4">
        <v>9.8000000000000007</v>
      </c>
      <c r="P192" s="4">
        <v>1052.4000000000001</v>
      </c>
      <c r="Q192" s="5">
        <v>1.1100000000000001</v>
      </c>
    </row>
    <row r="193" spans="1:17">
      <c r="A193" s="3">
        <v>359</v>
      </c>
      <c r="B193" s="2" t="s">
        <v>125</v>
      </c>
      <c r="C193" s="2" t="s">
        <v>33</v>
      </c>
      <c r="D193" s="2" t="s">
        <v>126</v>
      </c>
      <c r="E193" s="2" t="s">
        <v>35</v>
      </c>
      <c r="F193" s="4">
        <v>24.7</v>
      </c>
      <c r="G193" s="4">
        <v>3723</v>
      </c>
      <c r="H193" s="2" t="s">
        <v>36</v>
      </c>
      <c r="I193" s="2" t="s">
        <v>23</v>
      </c>
      <c r="J193" s="3">
        <v>210</v>
      </c>
      <c r="K193" s="5">
        <v>1.1399999999999999</v>
      </c>
      <c r="L193" s="4">
        <v>60.2</v>
      </c>
      <c r="M193" s="4">
        <v>3001.2</v>
      </c>
      <c r="N193" s="4">
        <v>28.7</v>
      </c>
      <c r="O193" s="4">
        <v>9.6</v>
      </c>
      <c r="P193" s="4">
        <v>1107.7</v>
      </c>
      <c r="Q193" s="5">
        <v>1.26</v>
      </c>
    </row>
    <row r="194" spans="1:17">
      <c r="A194" s="3">
        <v>75</v>
      </c>
      <c r="B194" s="2" t="s">
        <v>102</v>
      </c>
      <c r="C194" s="2" t="s">
        <v>24</v>
      </c>
      <c r="D194" s="2" t="s">
        <v>103</v>
      </c>
      <c r="E194" s="2" t="s">
        <v>21</v>
      </c>
      <c r="F194" s="4">
        <v>9.5</v>
      </c>
      <c r="G194" s="4">
        <v>3379.7</v>
      </c>
      <c r="H194" s="2" t="s">
        <v>39</v>
      </c>
      <c r="I194" s="2" t="s">
        <v>23</v>
      </c>
      <c r="J194" s="3">
        <v>600</v>
      </c>
      <c r="K194" s="5">
        <v>0.96</v>
      </c>
      <c r="L194" s="4">
        <v>60.3</v>
      </c>
      <c r="M194" s="4">
        <v>2523.1</v>
      </c>
      <c r="N194" s="4">
        <v>34.1</v>
      </c>
      <c r="O194" s="4">
        <v>5.6</v>
      </c>
      <c r="P194" s="4">
        <v>3170.1</v>
      </c>
      <c r="Q194" s="5">
        <v>3.04</v>
      </c>
    </row>
    <row r="195" spans="1:17">
      <c r="A195" s="3">
        <v>361</v>
      </c>
      <c r="B195" s="2" t="s">
        <v>235</v>
      </c>
      <c r="C195" s="2" t="s">
        <v>33</v>
      </c>
      <c r="D195" s="2" t="s">
        <v>93</v>
      </c>
      <c r="E195" s="2" t="s">
        <v>35</v>
      </c>
      <c r="F195" s="4">
        <v>30.6</v>
      </c>
      <c r="G195" s="4">
        <v>3295</v>
      </c>
      <c r="H195" s="2" t="s">
        <v>39</v>
      </c>
      <c r="I195" s="2" t="s">
        <v>23</v>
      </c>
      <c r="J195" s="3">
        <v>210</v>
      </c>
      <c r="K195" s="5">
        <v>1.1399999999999999</v>
      </c>
      <c r="L195" s="4">
        <v>60.3</v>
      </c>
      <c r="M195" s="4">
        <v>3009.8</v>
      </c>
      <c r="N195" s="4">
        <v>28.6</v>
      </c>
      <c r="O195" s="4">
        <v>11.1</v>
      </c>
      <c r="P195" s="4">
        <v>1109</v>
      </c>
      <c r="Q195" s="5">
        <v>1.27</v>
      </c>
    </row>
    <row r="196" spans="1:17">
      <c r="A196" s="3">
        <v>246</v>
      </c>
      <c r="B196" s="2" t="s">
        <v>181</v>
      </c>
      <c r="C196" s="2" t="s">
        <v>41</v>
      </c>
      <c r="D196" s="2" t="s">
        <v>116</v>
      </c>
      <c r="E196" s="2" t="s">
        <v>47</v>
      </c>
      <c r="F196" s="4">
        <v>26.4</v>
      </c>
      <c r="G196" s="4">
        <v>3430.8</v>
      </c>
      <c r="H196" s="2" t="s">
        <v>39</v>
      </c>
      <c r="I196" s="2" t="s">
        <v>23</v>
      </c>
      <c r="J196" s="3">
        <v>210</v>
      </c>
      <c r="K196" s="5">
        <v>1.04</v>
      </c>
      <c r="L196" s="4">
        <v>60.4</v>
      </c>
      <c r="M196" s="4">
        <v>2715.6</v>
      </c>
      <c r="N196" s="4">
        <v>31.7</v>
      </c>
      <c r="O196" s="4">
        <v>11.3</v>
      </c>
      <c r="P196" s="4">
        <v>1110.7</v>
      </c>
      <c r="Q196" s="5">
        <v>1.1499999999999999</v>
      </c>
    </row>
    <row r="197" spans="1:17">
      <c r="A197" s="3">
        <v>357</v>
      </c>
      <c r="B197" s="2" t="s">
        <v>223</v>
      </c>
      <c r="C197" s="2" t="s">
        <v>78</v>
      </c>
      <c r="D197" s="2" t="s">
        <v>162</v>
      </c>
      <c r="E197" s="2" t="s">
        <v>35</v>
      </c>
      <c r="F197" s="4">
        <v>37.9</v>
      </c>
      <c r="G197" s="4">
        <v>3551.5</v>
      </c>
      <c r="H197" s="2" t="s">
        <v>36</v>
      </c>
      <c r="I197" s="2" t="s">
        <v>23</v>
      </c>
      <c r="J197" s="3">
        <v>210</v>
      </c>
      <c r="K197" s="5">
        <v>1.1399999999999999</v>
      </c>
      <c r="L197" s="4">
        <v>60.4</v>
      </c>
      <c r="M197" s="4">
        <v>2979.3</v>
      </c>
      <c r="N197" s="4">
        <v>28.9</v>
      </c>
      <c r="O197" s="4">
        <v>9.8000000000000007</v>
      </c>
      <c r="P197" s="4">
        <v>1111</v>
      </c>
      <c r="Q197" s="5">
        <v>1.26</v>
      </c>
    </row>
    <row r="198" spans="1:17">
      <c r="A198" s="3">
        <v>449</v>
      </c>
      <c r="B198" s="2" t="s">
        <v>201</v>
      </c>
      <c r="C198" s="2" t="s">
        <v>19</v>
      </c>
      <c r="D198" s="2" t="s">
        <v>202</v>
      </c>
      <c r="E198" s="2" t="s">
        <v>21</v>
      </c>
      <c r="F198" s="4">
        <v>9.1999999999999993</v>
      </c>
      <c r="G198" s="4">
        <v>3533</v>
      </c>
      <c r="H198" s="2" t="s">
        <v>36</v>
      </c>
      <c r="I198" s="2" t="s">
        <v>23</v>
      </c>
      <c r="J198" s="3">
        <v>300</v>
      </c>
      <c r="K198" s="5">
        <v>1.57</v>
      </c>
      <c r="L198" s="4">
        <v>60.5</v>
      </c>
      <c r="M198" s="4">
        <v>4162.8999999999996</v>
      </c>
      <c r="N198" s="4">
        <v>20.7</v>
      </c>
      <c r="O198" s="4">
        <v>8.4</v>
      </c>
      <c r="P198" s="4">
        <v>1590.4</v>
      </c>
      <c r="Q198" s="5">
        <v>2.5</v>
      </c>
    </row>
    <row r="199" spans="1:17">
      <c r="A199" s="3">
        <v>132</v>
      </c>
      <c r="B199" s="2" t="s">
        <v>132</v>
      </c>
      <c r="C199" s="2" t="s">
        <v>19</v>
      </c>
      <c r="D199" s="2" t="s">
        <v>133</v>
      </c>
      <c r="E199" s="2" t="s">
        <v>21</v>
      </c>
      <c r="F199" s="4">
        <v>11</v>
      </c>
      <c r="G199" s="4">
        <v>3710</v>
      </c>
      <c r="H199" s="2" t="s">
        <v>36</v>
      </c>
      <c r="I199" s="2" t="s">
        <v>23</v>
      </c>
      <c r="J199" s="3">
        <v>600</v>
      </c>
      <c r="K199" s="5">
        <v>0.98</v>
      </c>
      <c r="L199" s="4">
        <v>60.6</v>
      </c>
      <c r="M199" s="4">
        <v>2579.6</v>
      </c>
      <c r="N199" s="4">
        <v>33.299999999999997</v>
      </c>
      <c r="O199" s="4">
        <v>7.3</v>
      </c>
      <c r="P199" s="4">
        <v>3185</v>
      </c>
      <c r="Q199" s="5">
        <v>3.12</v>
      </c>
    </row>
    <row r="200" spans="1:17">
      <c r="A200" s="3">
        <v>339</v>
      </c>
      <c r="B200" s="2" t="s">
        <v>224</v>
      </c>
      <c r="C200" s="2" t="s">
        <v>78</v>
      </c>
      <c r="D200" s="2" t="s">
        <v>162</v>
      </c>
      <c r="E200" s="2" t="s">
        <v>35</v>
      </c>
      <c r="F200" s="4">
        <v>26.4</v>
      </c>
      <c r="G200" s="4">
        <v>3626.9</v>
      </c>
      <c r="H200" s="2" t="s">
        <v>36</v>
      </c>
      <c r="I200" s="2" t="s">
        <v>23</v>
      </c>
      <c r="J200" s="3">
        <v>210</v>
      </c>
      <c r="K200" s="5">
        <v>1.1100000000000001</v>
      </c>
      <c r="L200" s="4">
        <v>60.6</v>
      </c>
      <c r="M200" s="4">
        <v>2846.8</v>
      </c>
      <c r="N200" s="4">
        <v>30.2</v>
      </c>
      <c r="O200" s="4">
        <v>11.5</v>
      </c>
      <c r="P200" s="4">
        <v>1114</v>
      </c>
      <c r="Q200" s="5">
        <v>1.23</v>
      </c>
    </row>
    <row r="201" spans="1:17">
      <c r="A201" s="3">
        <v>313</v>
      </c>
      <c r="B201" s="2" t="s">
        <v>213</v>
      </c>
      <c r="C201" s="2" t="s">
        <v>24</v>
      </c>
      <c r="D201" s="2" t="s">
        <v>142</v>
      </c>
      <c r="E201" s="2" t="s">
        <v>35</v>
      </c>
      <c r="F201" s="4">
        <v>14.3</v>
      </c>
      <c r="G201" s="4">
        <v>3670.2</v>
      </c>
      <c r="H201" s="2" t="s">
        <v>36</v>
      </c>
      <c r="I201" s="2" t="s">
        <v>23</v>
      </c>
      <c r="J201" s="3">
        <v>250</v>
      </c>
      <c r="K201" s="5">
        <v>1.0900000000000001</v>
      </c>
      <c r="L201" s="4">
        <v>60.7</v>
      </c>
      <c r="M201" s="4">
        <v>2862.2</v>
      </c>
      <c r="N201" s="4">
        <v>30</v>
      </c>
      <c r="O201" s="4">
        <v>10.5</v>
      </c>
      <c r="P201" s="4">
        <v>1329.2</v>
      </c>
      <c r="Q201" s="5">
        <v>1.45</v>
      </c>
    </row>
    <row r="202" spans="1:17">
      <c r="A202" s="3">
        <v>202</v>
      </c>
      <c r="B202" s="2" t="s">
        <v>90</v>
      </c>
      <c r="C202" s="2" t="s">
        <v>41</v>
      </c>
      <c r="D202" s="2" t="s">
        <v>46</v>
      </c>
      <c r="E202" s="2" t="s">
        <v>47</v>
      </c>
      <c r="F202" s="4">
        <v>29.4</v>
      </c>
      <c r="G202" s="4">
        <v>3526</v>
      </c>
      <c r="H202" s="2" t="s">
        <v>36</v>
      </c>
      <c r="I202" s="2" t="s">
        <v>23</v>
      </c>
      <c r="J202" s="3">
        <v>210</v>
      </c>
      <c r="K202" s="5">
        <v>1.01</v>
      </c>
      <c r="L202" s="4">
        <v>60.8</v>
      </c>
      <c r="M202" s="4">
        <v>2679.5</v>
      </c>
      <c r="N202" s="4">
        <v>32.1</v>
      </c>
      <c r="O202" s="4">
        <v>9.6999999999999993</v>
      </c>
      <c r="P202" s="4">
        <v>1118.2</v>
      </c>
      <c r="Q202" s="5">
        <v>1.1299999999999999</v>
      </c>
    </row>
    <row r="203" spans="1:17">
      <c r="A203" s="3">
        <v>358</v>
      </c>
      <c r="B203" s="2" t="s">
        <v>125</v>
      </c>
      <c r="C203" s="2" t="s">
        <v>41</v>
      </c>
      <c r="D203" s="2" t="s">
        <v>126</v>
      </c>
      <c r="E203" s="2" t="s">
        <v>35</v>
      </c>
      <c r="F203" s="4">
        <v>25.4</v>
      </c>
      <c r="G203" s="4">
        <v>3723</v>
      </c>
      <c r="H203" s="2" t="s">
        <v>36</v>
      </c>
      <c r="I203" s="2" t="s">
        <v>23</v>
      </c>
      <c r="J203" s="3">
        <v>210</v>
      </c>
      <c r="K203" s="5">
        <v>1.1399999999999999</v>
      </c>
      <c r="L203" s="4">
        <v>60.8</v>
      </c>
      <c r="M203" s="4">
        <v>2995.2</v>
      </c>
      <c r="N203" s="4">
        <v>28.7</v>
      </c>
      <c r="O203" s="4">
        <v>9.3000000000000007</v>
      </c>
      <c r="P203" s="4">
        <v>1118</v>
      </c>
      <c r="Q203" s="5">
        <v>1.27</v>
      </c>
    </row>
    <row r="204" spans="1:17">
      <c r="A204" s="3">
        <v>373</v>
      </c>
      <c r="B204" s="2" t="s">
        <v>235</v>
      </c>
      <c r="C204" s="2" t="s">
        <v>41</v>
      </c>
      <c r="D204" s="2" t="s">
        <v>93</v>
      </c>
      <c r="E204" s="2" t="s">
        <v>35</v>
      </c>
      <c r="F204" s="4">
        <v>40</v>
      </c>
      <c r="G204" s="4">
        <v>3303</v>
      </c>
      <c r="H204" s="2" t="s">
        <v>39</v>
      </c>
      <c r="I204" s="2" t="s">
        <v>23</v>
      </c>
      <c r="J204" s="3">
        <v>210</v>
      </c>
      <c r="K204" s="5">
        <v>1.1599999999999999</v>
      </c>
      <c r="L204" s="4">
        <v>61</v>
      </c>
      <c r="M204" s="4">
        <v>3055.7</v>
      </c>
      <c r="N204" s="4">
        <v>28.1</v>
      </c>
      <c r="O204" s="4">
        <v>11</v>
      </c>
      <c r="P204" s="4">
        <v>1122</v>
      </c>
      <c r="Q204" s="5">
        <v>1.3</v>
      </c>
    </row>
    <row r="205" spans="1:17">
      <c r="A205" s="3">
        <v>302</v>
      </c>
      <c r="B205" s="2" t="s">
        <v>123</v>
      </c>
      <c r="C205" s="2" t="s">
        <v>41</v>
      </c>
      <c r="D205" s="2" t="s">
        <v>46</v>
      </c>
      <c r="E205" s="2" t="s">
        <v>47</v>
      </c>
      <c r="F205" s="4">
        <v>25.5</v>
      </c>
      <c r="G205" s="4">
        <v>3732</v>
      </c>
      <c r="H205" s="2" t="s">
        <v>36</v>
      </c>
      <c r="I205" s="2" t="s">
        <v>23</v>
      </c>
      <c r="J205" s="3">
        <v>210</v>
      </c>
      <c r="K205" s="5">
        <v>1.08</v>
      </c>
      <c r="L205" s="4">
        <v>61.1</v>
      </c>
      <c r="M205" s="4">
        <v>2827</v>
      </c>
      <c r="N205" s="4">
        <v>30.4</v>
      </c>
      <c r="O205" s="4">
        <v>10</v>
      </c>
      <c r="P205" s="4">
        <v>1123.2</v>
      </c>
      <c r="Q205" s="5">
        <v>1.21</v>
      </c>
    </row>
    <row r="206" spans="1:17">
      <c r="A206" s="3">
        <v>362</v>
      </c>
      <c r="B206" s="2" t="s">
        <v>239</v>
      </c>
      <c r="C206" s="2" t="s">
        <v>78</v>
      </c>
      <c r="D206" s="2" t="s">
        <v>58</v>
      </c>
      <c r="E206" s="2" t="s">
        <v>35</v>
      </c>
      <c r="F206" s="4">
        <v>10.6</v>
      </c>
      <c r="G206" s="4">
        <v>3531.2</v>
      </c>
      <c r="H206" s="2" t="s">
        <v>36</v>
      </c>
      <c r="I206" s="2" t="s">
        <v>23</v>
      </c>
      <c r="J206" s="3">
        <v>500</v>
      </c>
      <c r="K206" s="5">
        <v>1.1399999999999999</v>
      </c>
      <c r="L206" s="4">
        <v>61.1</v>
      </c>
      <c r="M206" s="4">
        <v>3027.3</v>
      </c>
      <c r="N206" s="4">
        <v>28.4</v>
      </c>
      <c r="O206" s="4">
        <v>6.4</v>
      </c>
      <c r="P206" s="4">
        <v>2677</v>
      </c>
      <c r="Q206" s="5">
        <v>3.06</v>
      </c>
    </row>
    <row r="207" spans="1:17">
      <c r="A207" s="3">
        <v>206</v>
      </c>
      <c r="B207" s="2" t="s">
        <v>94</v>
      </c>
      <c r="C207" s="2" t="s">
        <v>19</v>
      </c>
      <c r="D207" s="2" t="s">
        <v>46</v>
      </c>
      <c r="E207" s="2" t="s">
        <v>47</v>
      </c>
      <c r="F207" s="4">
        <v>32.6</v>
      </c>
      <c r="G207" s="4">
        <v>3782.4</v>
      </c>
      <c r="H207" s="2" t="s">
        <v>36</v>
      </c>
      <c r="I207" s="2" t="s">
        <v>23</v>
      </c>
      <c r="J207" s="3">
        <v>210</v>
      </c>
      <c r="K207" s="5">
        <v>1.02</v>
      </c>
      <c r="L207" s="4">
        <v>61.2</v>
      </c>
      <c r="M207" s="4">
        <v>2699.6</v>
      </c>
      <c r="N207" s="4">
        <v>31.9</v>
      </c>
      <c r="O207" s="4">
        <v>8.1</v>
      </c>
      <c r="P207" s="4">
        <v>1125.4000000000001</v>
      </c>
      <c r="Q207" s="5">
        <v>1.1399999999999999</v>
      </c>
    </row>
    <row r="208" spans="1:17">
      <c r="A208" s="3">
        <v>443</v>
      </c>
      <c r="B208" s="2" t="s">
        <v>270</v>
      </c>
      <c r="C208" s="2" t="s">
        <v>45</v>
      </c>
      <c r="D208" s="2" t="s">
        <v>247</v>
      </c>
      <c r="E208" s="2" t="s">
        <v>47</v>
      </c>
      <c r="F208" s="4">
        <v>31.1</v>
      </c>
      <c r="G208" s="4">
        <v>2556</v>
      </c>
      <c r="H208" s="2" t="s">
        <v>43</v>
      </c>
      <c r="I208" s="2" t="s">
        <v>238</v>
      </c>
      <c r="J208" s="3">
        <v>210</v>
      </c>
      <c r="K208" s="5">
        <v>1.45</v>
      </c>
      <c r="L208" s="4">
        <v>61.6</v>
      </c>
      <c r="M208" s="4">
        <v>3436.5</v>
      </c>
      <c r="N208" s="4">
        <v>25</v>
      </c>
      <c r="O208" s="4">
        <v>10.7</v>
      </c>
      <c r="P208" s="4">
        <v>1133.5</v>
      </c>
      <c r="Q208" s="5">
        <v>1.64</v>
      </c>
    </row>
    <row r="209" spans="1:17">
      <c r="A209" s="3">
        <v>336</v>
      </c>
      <c r="B209" s="2" t="s">
        <v>223</v>
      </c>
      <c r="C209" s="2" t="s">
        <v>45</v>
      </c>
      <c r="D209" s="2" t="s">
        <v>162</v>
      </c>
      <c r="E209" s="2" t="s">
        <v>35</v>
      </c>
      <c r="F209" s="4">
        <v>25.6</v>
      </c>
      <c r="G209" s="4">
        <v>3650</v>
      </c>
      <c r="H209" s="2" t="s">
        <v>36</v>
      </c>
      <c r="I209" s="2" t="s">
        <v>23</v>
      </c>
      <c r="J209" s="3">
        <v>210</v>
      </c>
      <c r="K209" s="5">
        <v>1.1000000000000001</v>
      </c>
      <c r="L209" s="4">
        <v>61.8</v>
      </c>
      <c r="M209" s="4">
        <v>2880.5</v>
      </c>
      <c r="N209" s="4">
        <v>29.9</v>
      </c>
      <c r="O209" s="4">
        <v>10.5</v>
      </c>
      <c r="P209" s="4">
        <v>1136</v>
      </c>
      <c r="Q209" s="5">
        <v>1.25</v>
      </c>
    </row>
    <row r="210" spans="1:17">
      <c r="A210" s="3">
        <v>86</v>
      </c>
      <c r="B210" s="2" t="s">
        <v>77</v>
      </c>
      <c r="C210" s="2" t="s">
        <v>41</v>
      </c>
      <c r="D210" s="2" t="s">
        <v>79</v>
      </c>
      <c r="E210" s="2" t="s">
        <v>21</v>
      </c>
      <c r="F210" s="4">
        <v>9.5</v>
      </c>
      <c r="G210" s="4">
        <v>3655.4</v>
      </c>
      <c r="H210" s="2" t="s">
        <v>36</v>
      </c>
      <c r="I210" s="2" t="s">
        <v>23</v>
      </c>
      <c r="J210" s="3">
        <v>270</v>
      </c>
      <c r="K210" s="5">
        <v>0.96</v>
      </c>
      <c r="L210" s="4">
        <v>61.9</v>
      </c>
      <c r="M210" s="4">
        <v>2535.9</v>
      </c>
      <c r="N210" s="4">
        <v>33.9</v>
      </c>
      <c r="O210" s="4">
        <v>7.7</v>
      </c>
      <c r="P210" s="4">
        <v>1465</v>
      </c>
      <c r="Q210" s="5">
        <v>1.41</v>
      </c>
    </row>
    <row r="211" spans="1:17">
      <c r="A211" s="3">
        <v>91</v>
      </c>
      <c r="B211" s="2" t="s">
        <v>111</v>
      </c>
      <c r="C211" s="2" t="s">
        <v>33</v>
      </c>
      <c r="D211" s="2" t="s">
        <v>101</v>
      </c>
      <c r="E211" s="2" t="s">
        <v>21</v>
      </c>
      <c r="F211" s="4">
        <v>12.4</v>
      </c>
      <c r="G211" s="4">
        <v>3835</v>
      </c>
      <c r="H211" s="2" t="s">
        <v>36</v>
      </c>
      <c r="I211" s="2" t="s">
        <v>23</v>
      </c>
      <c r="J211" s="3">
        <v>300</v>
      </c>
      <c r="K211" s="5">
        <v>0.96</v>
      </c>
      <c r="L211" s="4">
        <v>62.1</v>
      </c>
      <c r="M211" s="4">
        <v>2542</v>
      </c>
      <c r="N211" s="4">
        <v>33.799999999999997</v>
      </c>
      <c r="O211" s="4">
        <v>7</v>
      </c>
      <c r="P211" s="4">
        <v>1632.7</v>
      </c>
      <c r="Q211" s="5">
        <v>1.57</v>
      </c>
    </row>
    <row r="212" spans="1:17">
      <c r="A212" s="3">
        <v>352</v>
      </c>
      <c r="B212" s="2" t="s">
        <v>235</v>
      </c>
      <c r="C212" s="2" t="s">
        <v>51</v>
      </c>
      <c r="D212" s="2" t="s">
        <v>93</v>
      </c>
      <c r="E212" s="2" t="s">
        <v>35</v>
      </c>
      <c r="F212" s="4">
        <v>31.6</v>
      </c>
      <c r="G212" s="4">
        <v>3313</v>
      </c>
      <c r="H212" s="2" t="s">
        <v>39</v>
      </c>
      <c r="I212" s="2" t="s">
        <v>23</v>
      </c>
      <c r="J212" s="3">
        <v>210</v>
      </c>
      <c r="K212" s="5">
        <v>1.1299999999999999</v>
      </c>
      <c r="L212" s="4">
        <v>62.1</v>
      </c>
      <c r="M212" s="4">
        <v>2979.7</v>
      </c>
      <c r="N212" s="4">
        <v>28.9</v>
      </c>
      <c r="O212" s="4">
        <v>11.1</v>
      </c>
      <c r="P212" s="4">
        <v>1143</v>
      </c>
      <c r="Q212" s="5">
        <v>1.29</v>
      </c>
    </row>
    <row r="213" spans="1:17">
      <c r="A213" s="3">
        <v>378</v>
      </c>
      <c r="B213" s="2" t="s">
        <v>236</v>
      </c>
      <c r="C213" s="2" t="s">
        <v>41</v>
      </c>
      <c r="D213" s="2" t="s">
        <v>237</v>
      </c>
      <c r="E213" s="2" t="s">
        <v>21</v>
      </c>
      <c r="F213" s="4">
        <v>14.3</v>
      </c>
      <c r="G213" s="4">
        <v>2585.1</v>
      </c>
      <c r="H213" s="2" t="s">
        <v>43</v>
      </c>
      <c r="I213" s="2" t="s">
        <v>238</v>
      </c>
      <c r="J213" s="3">
        <v>125</v>
      </c>
      <c r="K213" s="5">
        <v>1.17</v>
      </c>
      <c r="L213" s="4">
        <v>62.1</v>
      </c>
      <c r="M213" s="4">
        <v>3064.1</v>
      </c>
      <c r="N213" s="4">
        <v>28.1</v>
      </c>
      <c r="O213" s="4">
        <v>13.3</v>
      </c>
      <c r="P213" s="4">
        <v>680</v>
      </c>
      <c r="Q213" s="5">
        <v>0.8</v>
      </c>
    </row>
    <row r="214" spans="1:17">
      <c r="A214" s="3">
        <v>85</v>
      </c>
      <c r="B214" s="2" t="s">
        <v>95</v>
      </c>
      <c r="C214" s="2" t="s">
        <v>24</v>
      </c>
      <c r="D214" s="2" t="s">
        <v>46</v>
      </c>
      <c r="E214" s="2" t="s">
        <v>47</v>
      </c>
      <c r="F214" s="4">
        <v>22</v>
      </c>
      <c r="G214" s="4">
        <v>3192.1</v>
      </c>
      <c r="H214" s="2" t="s">
        <v>39</v>
      </c>
      <c r="I214" s="2" t="s">
        <v>23</v>
      </c>
      <c r="J214" s="3">
        <v>500</v>
      </c>
      <c r="K214" s="5">
        <v>0.96</v>
      </c>
      <c r="L214" s="4">
        <v>62.2</v>
      </c>
      <c r="M214" s="4">
        <v>2554.6</v>
      </c>
      <c r="N214" s="4">
        <v>33.700000000000003</v>
      </c>
      <c r="O214" s="4">
        <v>5.8</v>
      </c>
      <c r="P214" s="4">
        <v>2723.8</v>
      </c>
      <c r="Q214" s="5">
        <v>2.62</v>
      </c>
    </row>
    <row r="215" spans="1:17">
      <c r="A215" s="3">
        <v>207</v>
      </c>
      <c r="B215" s="2" t="s">
        <v>90</v>
      </c>
      <c r="C215" s="2" t="s">
        <v>24</v>
      </c>
      <c r="D215" s="2" t="s">
        <v>46</v>
      </c>
      <c r="E215" s="2" t="s">
        <v>47</v>
      </c>
      <c r="F215" s="4">
        <v>30.4</v>
      </c>
      <c r="G215" s="4">
        <v>3469.6</v>
      </c>
      <c r="H215" s="2" t="s">
        <v>39</v>
      </c>
      <c r="I215" s="2" t="s">
        <v>23</v>
      </c>
      <c r="J215" s="3">
        <v>210</v>
      </c>
      <c r="K215" s="5">
        <v>1.02</v>
      </c>
      <c r="L215" s="4">
        <v>62.2</v>
      </c>
      <c r="M215" s="4">
        <v>2690.6</v>
      </c>
      <c r="N215" s="4">
        <v>32</v>
      </c>
      <c r="O215" s="4">
        <v>10.199999999999999</v>
      </c>
      <c r="P215" s="4">
        <v>1143.5</v>
      </c>
      <c r="Q215" s="5">
        <v>1.1599999999999999</v>
      </c>
    </row>
    <row r="216" spans="1:17">
      <c r="A216" s="3">
        <v>208</v>
      </c>
      <c r="B216" s="2" t="s">
        <v>171</v>
      </c>
      <c r="C216" s="2" t="s">
        <v>78</v>
      </c>
      <c r="D216" s="2" t="s">
        <v>52</v>
      </c>
      <c r="E216" s="2" t="s">
        <v>35</v>
      </c>
      <c r="F216" s="4">
        <v>12.2</v>
      </c>
      <c r="G216" s="4">
        <v>3401</v>
      </c>
      <c r="H216" s="2" t="s">
        <v>39</v>
      </c>
      <c r="I216" s="2" t="s">
        <v>23</v>
      </c>
      <c r="J216" s="3">
        <v>250</v>
      </c>
      <c r="K216" s="5">
        <v>1.02</v>
      </c>
      <c r="L216" s="4">
        <v>62.2</v>
      </c>
      <c r="M216" s="4">
        <v>2677.4</v>
      </c>
      <c r="N216" s="4">
        <v>32.1</v>
      </c>
      <c r="O216" s="4">
        <v>9</v>
      </c>
      <c r="P216" s="4">
        <v>1363</v>
      </c>
      <c r="Q216" s="5">
        <v>1.39</v>
      </c>
    </row>
    <row r="217" spans="1:17">
      <c r="A217" s="3">
        <v>395</v>
      </c>
      <c r="B217" s="2" t="s">
        <v>249</v>
      </c>
      <c r="C217" s="2" t="s">
        <v>41</v>
      </c>
      <c r="D217" s="2" t="s">
        <v>250</v>
      </c>
      <c r="E217" s="2" t="s">
        <v>21</v>
      </c>
      <c r="F217" s="4">
        <v>12.8</v>
      </c>
      <c r="G217" s="4">
        <v>3128.8</v>
      </c>
      <c r="H217" s="2" t="s">
        <v>39</v>
      </c>
      <c r="I217" s="2" t="s">
        <v>238</v>
      </c>
      <c r="J217" s="3">
        <v>135</v>
      </c>
      <c r="K217" s="5">
        <v>1.2</v>
      </c>
      <c r="L217" s="4">
        <v>62.2</v>
      </c>
      <c r="M217" s="4">
        <v>2851.5</v>
      </c>
      <c r="N217" s="4">
        <v>30.2</v>
      </c>
      <c r="O217" s="4">
        <v>10.199999999999999</v>
      </c>
      <c r="P217" s="4">
        <v>736</v>
      </c>
      <c r="Q217" s="5">
        <v>0.88</v>
      </c>
    </row>
    <row r="218" spans="1:17">
      <c r="A218" s="3">
        <v>46</v>
      </c>
      <c r="B218" s="2" t="s">
        <v>40</v>
      </c>
      <c r="C218" s="2" t="s">
        <v>24</v>
      </c>
      <c r="D218" s="2" t="s">
        <v>42</v>
      </c>
      <c r="E218" s="2" t="s">
        <v>21</v>
      </c>
      <c r="F218" s="4">
        <v>10.4</v>
      </c>
      <c r="G218" s="4">
        <v>2975.2</v>
      </c>
      <c r="H218" s="2" t="s">
        <v>43</v>
      </c>
      <c r="I218" s="2" t="s">
        <v>23</v>
      </c>
      <c r="J218" s="3">
        <v>600</v>
      </c>
      <c r="K218" s="5">
        <v>0.94</v>
      </c>
      <c r="L218" s="4">
        <v>62.4</v>
      </c>
      <c r="M218" s="4">
        <v>2497.6999999999998</v>
      </c>
      <c r="N218" s="4">
        <v>34.4</v>
      </c>
      <c r="O218" s="4">
        <v>5.3</v>
      </c>
      <c r="P218" s="4">
        <v>3277.3</v>
      </c>
      <c r="Q218" s="5">
        <v>3.1</v>
      </c>
    </row>
    <row r="219" spans="1:17">
      <c r="A219" s="3">
        <v>267</v>
      </c>
      <c r="B219" s="2" t="s">
        <v>200</v>
      </c>
      <c r="C219" s="2" t="s">
        <v>78</v>
      </c>
      <c r="D219" s="2" t="s">
        <v>119</v>
      </c>
      <c r="E219" s="2" t="s">
        <v>35</v>
      </c>
      <c r="F219" s="4">
        <v>30.4</v>
      </c>
      <c r="G219" s="4">
        <v>2946</v>
      </c>
      <c r="H219" s="2" t="s">
        <v>43</v>
      </c>
      <c r="I219" s="2" t="s">
        <v>23</v>
      </c>
      <c r="J219" s="3">
        <v>210</v>
      </c>
      <c r="K219" s="5">
        <v>1.05</v>
      </c>
      <c r="L219" s="4">
        <v>62.4</v>
      </c>
      <c r="M219" s="4">
        <v>2771.5</v>
      </c>
      <c r="N219" s="4">
        <v>31</v>
      </c>
      <c r="O219" s="4">
        <v>9.6</v>
      </c>
      <c r="P219" s="4">
        <v>1148</v>
      </c>
      <c r="Q219" s="5">
        <v>1.21</v>
      </c>
    </row>
    <row r="220" spans="1:17">
      <c r="A220" s="3">
        <v>71</v>
      </c>
      <c r="B220" s="2" t="s">
        <v>53</v>
      </c>
      <c r="C220" s="2" t="s">
        <v>78</v>
      </c>
      <c r="D220" s="2" t="s">
        <v>46</v>
      </c>
      <c r="E220" s="2" t="s">
        <v>47</v>
      </c>
      <c r="F220" s="4">
        <v>35.4</v>
      </c>
      <c r="G220" s="4">
        <v>3507.3</v>
      </c>
      <c r="H220" s="2" t="s">
        <v>36</v>
      </c>
      <c r="I220" s="2" t="s">
        <v>23</v>
      </c>
      <c r="J220" s="3">
        <v>500</v>
      </c>
      <c r="K220" s="5">
        <v>0.95</v>
      </c>
      <c r="L220" s="4">
        <v>62.5</v>
      </c>
      <c r="M220" s="4">
        <v>2530.1</v>
      </c>
      <c r="N220" s="4">
        <v>34</v>
      </c>
      <c r="O220" s="4">
        <v>7</v>
      </c>
      <c r="P220" s="4">
        <v>2735.4</v>
      </c>
      <c r="Q220" s="5">
        <v>2.61</v>
      </c>
    </row>
    <row r="221" spans="1:17">
      <c r="A221" s="3">
        <v>281</v>
      </c>
      <c r="B221" s="2" t="s">
        <v>207</v>
      </c>
      <c r="C221" s="2" t="s">
        <v>19</v>
      </c>
      <c r="D221" s="2" t="s">
        <v>208</v>
      </c>
      <c r="E221" s="2" t="s">
        <v>35</v>
      </c>
      <c r="F221" s="4">
        <v>30.3</v>
      </c>
      <c r="G221" s="4">
        <v>3469</v>
      </c>
      <c r="H221" s="2" t="s">
        <v>39</v>
      </c>
      <c r="I221" s="2" t="s">
        <v>23</v>
      </c>
      <c r="J221" s="3">
        <v>210</v>
      </c>
      <c r="K221" s="5">
        <v>1.06</v>
      </c>
      <c r="L221" s="4">
        <v>62.5</v>
      </c>
      <c r="M221" s="4">
        <v>2793.1</v>
      </c>
      <c r="N221" s="4">
        <v>30.8</v>
      </c>
      <c r="O221" s="4">
        <v>10.4</v>
      </c>
      <c r="P221" s="4">
        <v>1149.7</v>
      </c>
      <c r="Q221" s="5">
        <v>1.22</v>
      </c>
    </row>
    <row r="222" spans="1:17">
      <c r="A222" s="3">
        <v>7</v>
      </c>
      <c r="B222" s="2" t="s">
        <v>30</v>
      </c>
      <c r="C222" s="2" t="s">
        <v>24</v>
      </c>
      <c r="D222" s="2" t="s">
        <v>31</v>
      </c>
      <c r="E222" s="2" t="s">
        <v>21</v>
      </c>
      <c r="F222" s="4">
        <v>14.9</v>
      </c>
      <c r="G222" s="4">
        <v>4420</v>
      </c>
      <c r="H222" s="2" t="s">
        <v>29</v>
      </c>
      <c r="I222" s="2" t="s">
        <v>23</v>
      </c>
      <c r="J222" s="3">
        <v>250</v>
      </c>
      <c r="K222" s="5">
        <v>0.9</v>
      </c>
      <c r="L222" s="4">
        <v>62.6</v>
      </c>
      <c r="M222" s="4">
        <v>2524.5</v>
      </c>
      <c r="N222" s="4">
        <v>34.1</v>
      </c>
      <c r="O222" s="4">
        <v>7.1</v>
      </c>
      <c r="P222" s="4">
        <v>1372</v>
      </c>
      <c r="Q222" s="5">
        <v>1.24</v>
      </c>
    </row>
    <row r="223" spans="1:17">
      <c r="A223" s="3">
        <v>18</v>
      </c>
      <c r="B223" s="2" t="s">
        <v>40</v>
      </c>
      <c r="C223" s="2" t="s">
        <v>33</v>
      </c>
      <c r="D223" s="2" t="s">
        <v>42</v>
      </c>
      <c r="E223" s="2" t="s">
        <v>21</v>
      </c>
      <c r="F223" s="4">
        <v>9.4</v>
      </c>
      <c r="G223" s="4">
        <v>2935.5</v>
      </c>
      <c r="H223" s="2" t="s">
        <v>43</v>
      </c>
      <c r="I223" s="2" t="s">
        <v>23</v>
      </c>
      <c r="J223" s="3">
        <v>600</v>
      </c>
      <c r="K223" s="5">
        <v>0.93</v>
      </c>
      <c r="L223" s="4">
        <v>62.9</v>
      </c>
      <c r="M223" s="4">
        <v>2443.9</v>
      </c>
      <c r="N223" s="4">
        <v>35.200000000000003</v>
      </c>
      <c r="O223" s="4">
        <v>5.3</v>
      </c>
      <c r="P223" s="4">
        <v>3305.2</v>
      </c>
      <c r="Q223" s="5">
        <v>3.06</v>
      </c>
    </row>
    <row r="224" spans="1:17">
      <c r="A224" s="3">
        <v>65</v>
      </c>
      <c r="B224" s="2" t="s">
        <v>95</v>
      </c>
      <c r="C224" s="2" t="s">
        <v>33</v>
      </c>
      <c r="D224" s="2" t="s">
        <v>46</v>
      </c>
      <c r="E224" s="2" t="s">
        <v>47</v>
      </c>
      <c r="F224" s="4">
        <v>12.4</v>
      </c>
      <c r="G224" s="4">
        <v>3056.2</v>
      </c>
      <c r="H224" s="2" t="s">
        <v>39</v>
      </c>
      <c r="I224" s="2" t="s">
        <v>23</v>
      </c>
      <c r="J224" s="3">
        <v>500</v>
      </c>
      <c r="K224" s="5">
        <v>0.95</v>
      </c>
      <c r="L224" s="4">
        <v>62.9</v>
      </c>
      <c r="M224" s="4">
        <v>2518.8000000000002</v>
      </c>
      <c r="N224" s="4">
        <v>34.1</v>
      </c>
      <c r="O224" s="4">
        <v>6</v>
      </c>
      <c r="P224" s="4">
        <v>2755.6</v>
      </c>
      <c r="Q224" s="5">
        <v>2.62</v>
      </c>
    </row>
    <row r="225" spans="1:17">
      <c r="A225" s="3">
        <v>171</v>
      </c>
      <c r="B225" s="2" t="s">
        <v>121</v>
      </c>
      <c r="C225" s="2" t="s">
        <v>24</v>
      </c>
      <c r="D225" s="2" t="s">
        <v>122</v>
      </c>
      <c r="E225" s="2" t="s">
        <v>21</v>
      </c>
      <c r="F225" s="4">
        <v>11.4</v>
      </c>
      <c r="G225" s="4">
        <v>3482</v>
      </c>
      <c r="H225" s="2" t="s">
        <v>39</v>
      </c>
      <c r="I225" s="2" t="s">
        <v>23</v>
      </c>
      <c r="J225" s="3">
        <v>270</v>
      </c>
      <c r="K225" s="5">
        <v>1</v>
      </c>
      <c r="L225" s="4">
        <v>62.9</v>
      </c>
      <c r="M225" s="4">
        <v>2626.2</v>
      </c>
      <c r="N225" s="4">
        <v>32.700000000000003</v>
      </c>
      <c r="O225" s="4">
        <v>8.5</v>
      </c>
      <c r="P225" s="4">
        <v>1488.3</v>
      </c>
      <c r="Q225" s="5">
        <v>1.48</v>
      </c>
    </row>
    <row r="226" spans="1:17">
      <c r="A226" s="3">
        <v>259</v>
      </c>
      <c r="B226" s="2" t="s">
        <v>178</v>
      </c>
      <c r="C226" s="2" t="s">
        <v>33</v>
      </c>
      <c r="D226" s="2" t="s">
        <v>144</v>
      </c>
      <c r="E226" s="2" t="s">
        <v>35</v>
      </c>
      <c r="F226" s="4">
        <v>34.5</v>
      </c>
      <c r="G226" s="4">
        <v>3031</v>
      </c>
      <c r="H226" s="2" t="s">
        <v>39</v>
      </c>
      <c r="I226" s="2" t="s">
        <v>23</v>
      </c>
      <c r="J226" s="3">
        <v>210</v>
      </c>
      <c r="K226" s="5">
        <v>1.05</v>
      </c>
      <c r="L226" s="4">
        <v>62.9</v>
      </c>
      <c r="M226" s="4">
        <v>2754.7</v>
      </c>
      <c r="N226" s="4">
        <v>31.2</v>
      </c>
      <c r="O226" s="4">
        <v>9.1</v>
      </c>
      <c r="P226" s="4">
        <v>1157.8</v>
      </c>
      <c r="Q226" s="5">
        <v>1.22</v>
      </c>
    </row>
    <row r="227" spans="1:17">
      <c r="A227" s="3">
        <v>55</v>
      </c>
      <c r="B227" s="2" t="s">
        <v>74</v>
      </c>
      <c r="C227" s="2" t="s">
        <v>19</v>
      </c>
      <c r="D227" s="2" t="s">
        <v>46</v>
      </c>
      <c r="E227" s="2" t="s">
        <v>47</v>
      </c>
      <c r="F227" s="4">
        <v>12.3</v>
      </c>
      <c r="G227" s="4">
        <v>3372</v>
      </c>
      <c r="H227" s="2" t="s">
        <v>39</v>
      </c>
      <c r="I227" s="2" t="s">
        <v>23</v>
      </c>
      <c r="J227" s="3">
        <v>500</v>
      </c>
      <c r="K227" s="5">
        <v>0.95</v>
      </c>
      <c r="L227" s="4">
        <v>63</v>
      </c>
      <c r="M227" s="4">
        <v>2515.8000000000002</v>
      </c>
      <c r="N227" s="4">
        <v>34.200000000000003</v>
      </c>
      <c r="O227" s="4">
        <v>6.2</v>
      </c>
      <c r="P227" s="4">
        <v>2760.1</v>
      </c>
      <c r="Q227" s="5">
        <v>2.62</v>
      </c>
    </row>
    <row r="228" spans="1:17">
      <c r="A228" s="3">
        <v>335</v>
      </c>
      <c r="B228" s="2" t="s">
        <v>230</v>
      </c>
      <c r="C228" s="2" t="s">
        <v>24</v>
      </c>
      <c r="D228" s="2" t="s">
        <v>231</v>
      </c>
      <c r="E228" s="2" t="s">
        <v>35</v>
      </c>
      <c r="F228" s="4">
        <v>28.8</v>
      </c>
      <c r="G228" s="4">
        <v>2901</v>
      </c>
      <c r="H228" s="2" t="s">
        <v>43</v>
      </c>
      <c r="I228" s="2" t="s">
        <v>23</v>
      </c>
      <c r="J228" s="3">
        <v>210</v>
      </c>
      <c r="K228" s="5">
        <v>1.1000000000000001</v>
      </c>
      <c r="L228" s="4">
        <v>63</v>
      </c>
      <c r="M228" s="4">
        <v>2904.4</v>
      </c>
      <c r="N228" s="4">
        <v>29.6</v>
      </c>
      <c r="O228" s="4">
        <v>12.1</v>
      </c>
      <c r="P228" s="4">
        <v>1159.8</v>
      </c>
      <c r="Q228" s="5">
        <v>1.28</v>
      </c>
    </row>
    <row r="229" spans="1:17">
      <c r="A229" s="3">
        <v>419</v>
      </c>
      <c r="B229" s="2" t="s">
        <v>260</v>
      </c>
      <c r="C229" s="2" t="s">
        <v>19</v>
      </c>
      <c r="D229" s="2" t="s">
        <v>247</v>
      </c>
      <c r="E229" s="2" t="s">
        <v>47</v>
      </c>
      <c r="F229" s="4">
        <v>14.1</v>
      </c>
      <c r="G229" s="4">
        <v>2912</v>
      </c>
      <c r="H229" s="2" t="s">
        <v>43</v>
      </c>
      <c r="I229" s="2" t="s">
        <v>238</v>
      </c>
      <c r="J229" s="3">
        <v>125</v>
      </c>
      <c r="K229" s="5">
        <v>1.22</v>
      </c>
      <c r="L229" s="4">
        <v>63.2</v>
      </c>
      <c r="M229" s="4">
        <v>2895.2</v>
      </c>
      <c r="N229" s="4">
        <v>29.7</v>
      </c>
      <c r="O229" s="4">
        <v>12.6</v>
      </c>
      <c r="P229" s="4">
        <v>692</v>
      </c>
      <c r="Q229" s="5">
        <v>0.84</v>
      </c>
    </row>
    <row r="230" spans="1:17">
      <c r="A230" s="3">
        <v>430</v>
      </c>
      <c r="B230" s="2" t="s">
        <v>229</v>
      </c>
      <c r="C230" s="2" t="s">
        <v>41</v>
      </c>
      <c r="D230" s="2" t="s">
        <v>58</v>
      </c>
      <c r="E230" s="2" t="s">
        <v>35</v>
      </c>
      <c r="F230" s="4">
        <v>24.2</v>
      </c>
      <c r="G230" s="4">
        <v>3434.2</v>
      </c>
      <c r="H230" s="2" t="s">
        <v>39</v>
      </c>
      <c r="I230" s="2" t="s">
        <v>23</v>
      </c>
      <c r="J230" s="3">
        <v>210</v>
      </c>
      <c r="K230" s="5">
        <v>1.29</v>
      </c>
      <c r="L230" s="4">
        <v>63.2</v>
      </c>
      <c r="M230" s="4">
        <v>3407.6</v>
      </c>
      <c r="N230" s="4">
        <v>25.2</v>
      </c>
      <c r="O230" s="4">
        <v>10.6</v>
      </c>
      <c r="P230" s="4">
        <v>1162</v>
      </c>
      <c r="Q230" s="5">
        <v>1.5</v>
      </c>
    </row>
    <row r="231" spans="1:17">
      <c r="A231" s="3">
        <v>333</v>
      </c>
      <c r="B231" s="2" t="s">
        <v>118</v>
      </c>
      <c r="C231" s="2" t="s">
        <v>19</v>
      </c>
      <c r="D231" s="2" t="s">
        <v>119</v>
      </c>
      <c r="E231" s="2" t="s">
        <v>35</v>
      </c>
      <c r="F231" s="4">
        <v>30.3</v>
      </c>
      <c r="G231" s="4">
        <v>3240</v>
      </c>
      <c r="H231" s="2" t="s">
        <v>39</v>
      </c>
      <c r="I231" s="2" t="s">
        <v>23</v>
      </c>
      <c r="J231" s="3">
        <v>210</v>
      </c>
      <c r="K231" s="5">
        <v>1.1000000000000001</v>
      </c>
      <c r="L231" s="4">
        <v>63.3</v>
      </c>
      <c r="M231" s="4">
        <v>2901.8</v>
      </c>
      <c r="N231" s="4">
        <v>29.6</v>
      </c>
      <c r="O231" s="4">
        <v>11.6</v>
      </c>
      <c r="P231" s="4">
        <v>1165.2</v>
      </c>
      <c r="Q231" s="5">
        <v>1.29</v>
      </c>
    </row>
    <row r="232" spans="1:17">
      <c r="A232" s="3">
        <v>40</v>
      </c>
      <c r="B232" s="2" t="s">
        <v>77</v>
      </c>
      <c r="C232" s="2" t="s">
        <v>78</v>
      </c>
      <c r="D232" s="2" t="s">
        <v>79</v>
      </c>
      <c r="E232" s="2" t="s">
        <v>21</v>
      </c>
      <c r="F232" s="4">
        <v>9.4</v>
      </c>
      <c r="G232" s="4">
        <v>3654.7</v>
      </c>
      <c r="H232" s="2" t="s">
        <v>36</v>
      </c>
      <c r="I232" s="2" t="s">
        <v>23</v>
      </c>
      <c r="J232" s="3">
        <v>270</v>
      </c>
      <c r="K232" s="5">
        <v>0.94</v>
      </c>
      <c r="L232" s="4">
        <v>63.4</v>
      </c>
      <c r="M232" s="4">
        <v>2483.9</v>
      </c>
      <c r="N232" s="4">
        <v>34.6</v>
      </c>
      <c r="O232" s="4">
        <v>7.7</v>
      </c>
      <c r="P232" s="4">
        <v>1499.1</v>
      </c>
      <c r="Q232" s="5">
        <v>1.41</v>
      </c>
    </row>
    <row r="233" spans="1:17">
      <c r="A233" s="3">
        <v>318</v>
      </c>
      <c r="B233" s="2" t="s">
        <v>207</v>
      </c>
      <c r="C233" s="2" t="s">
        <v>24</v>
      </c>
      <c r="D233" s="2" t="s">
        <v>208</v>
      </c>
      <c r="E233" s="2" t="s">
        <v>35</v>
      </c>
      <c r="F233" s="4">
        <v>27.8</v>
      </c>
      <c r="G233" s="4">
        <v>3469</v>
      </c>
      <c r="H233" s="2" t="s">
        <v>39</v>
      </c>
      <c r="I233" s="2" t="s">
        <v>23</v>
      </c>
      <c r="J233" s="3">
        <v>210</v>
      </c>
      <c r="K233" s="5">
        <v>1.0900000000000001</v>
      </c>
      <c r="L233" s="4">
        <v>63.4</v>
      </c>
      <c r="M233" s="4">
        <v>2876.8</v>
      </c>
      <c r="N233" s="4">
        <v>29.9</v>
      </c>
      <c r="O233" s="4">
        <v>10.4</v>
      </c>
      <c r="P233" s="4">
        <v>1165.7</v>
      </c>
      <c r="Q233" s="5">
        <v>1.27</v>
      </c>
    </row>
    <row r="234" spans="1:17">
      <c r="A234" s="3">
        <v>408</v>
      </c>
      <c r="B234" s="2" t="s">
        <v>255</v>
      </c>
      <c r="C234" s="2" t="s">
        <v>51</v>
      </c>
      <c r="D234" s="2" t="s">
        <v>58</v>
      </c>
      <c r="E234" s="2" t="s">
        <v>35</v>
      </c>
      <c r="F234" s="4">
        <v>42.4</v>
      </c>
      <c r="G234" s="4">
        <v>3227</v>
      </c>
      <c r="H234" s="2" t="s">
        <v>39</v>
      </c>
      <c r="I234" s="2" t="s">
        <v>23</v>
      </c>
      <c r="J234" s="3">
        <v>210</v>
      </c>
      <c r="K234" s="5">
        <v>1.22</v>
      </c>
      <c r="L234" s="4">
        <v>63.4</v>
      </c>
      <c r="M234" s="4">
        <v>3160.6</v>
      </c>
      <c r="N234" s="4">
        <v>27.2</v>
      </c>
      <c r="O234" s="4">
        <v>11.5</v>
      </c>
      <c r="P234" s="4">
        <v>1167</v>
      </c>
      <c r="Q234" s="5">
        <v>1.42</v>
      </c>
    </row>
    <row r="235" spans="1:17">
      <c r="A235" s="3">
        <v>126</v>
      </c>
      <c r="B235" s="2" t="s">
        <v>120</v>
      </c>
      <c r="C235" s="2" t="s">
        <v>19</v>
      </c>
      <c r="D235" s="2" t="s">
        <v>114</v>
      </c>
      <c r="E235" s="2" t="s">
        <v>35</v>
      </c>
      <c r="F235" s="4">
        <v>14.4</v>
      </c>
      <c r="G235" s="4">
        <v>3302.3</v>
      </c>
      <c r="H235" s="2" t="s">
        <v>39</v>
      </c>
      <c r="I235" s="2" t="s">
        <v>23</v>
      </c>
      <c r="J235" s="3">
        <v>600</v>
      </c>
      <c r="K235" s="5">
        <v>0.98</v>
      </c>
      <c r="L235" s="4">
        <v>63.7</v>
      </c>
      <c r="M235" s="4">
        <v>2593.1</v>
      </c>
      <c r="N235" s="4">
        <v>33.200000000000003</v>
      </c>
      <c r="O235" s="4">
        <v>6</v>
      </c>
      <c r="P235" s="4">
        <v>3347.7</v>
      </c>
      <c r="Q235" s="5">
        <v>3.27</v>
      </c>
    </row>
    <row r="236" spans="1:17">
      <c r="A236" s="3">
        <v>255</v>
      </c>
      <c r="B236" s="2" t="s">
        <v>171</v>
      </c>
      <c r="C236" s="2" t="s">
        <v>41</v>
      </c>
      <c r="D236" s="2" t="s">
        <v>52</v>
      </c>
      <c r="E236" s="2" t="s">
        <v>35</v>
      </c>
      <c r="F236" s="4">
        <v>18.399999999999999</v>
      </c>
      <c r="G236" s="4">
        <v>3401</v>
      </c>
      <c r="H236" s="2" t="s">
        <v>39</v>
      </c>
      <c r="I236" s="2" t="s">
        <v>23</v>
      </c>
      <c r="J236" s="3">
        <v>210</v>
      </c>
      <c r="K236" s="5">
        <v>1.05</v>
      </c>
      <c r="L236" s="4">
        <v>63.8</v>
      </c>
      <c r="M236" s="4">
        <v>2757.3</v>
      </c>
      <c r="N236" s="4">
        <v>31.2</v>
      </c>
      <c r="O236" s="4">
        <v>11.2</v>
      </c>
      <c r="P236" s="4">
        <v>1173</v>
      </c>
      <c r="Q236" s="5">
        <v>1.23</v>
      </c>
    </row>
    <row r="237" spans="1:17">
      <c r="A237" s="3">
        <v>293</v>
      </c>
      <c r="B237" s="2" t="s">
        <v>216</v>
      </c>
      <c r="C237" s="2" t="s">
        <v>19</v>
      </c>
      <c r="D237" s="2" t="s">
        <v>210</v>
      </c>
      <c r="E237" s="2" t="s">
        <v>21</v>
      </c>
      <c r="F237" s="4">
        <v>7.2</v>
      </c>
      <c r="G237" s="4">
        <v>3212</v>
      </c>
      <c r="H237" s="2" t="s">
        <v>39</v>
      </c>
      <c r="I237" s="2" t="s">
        <v>23</v>
      </c>
      <c r="J237" s="3">
        <v>150</v>
      </c>
      <c r="K237" s="5">
        <v>1.07</v>
      </c>
      <c r="L237" s="4">
        <v>63.9</v>
      </c>
      <c r="M237" s="4">
        <v>2822.2</v>
      </c>
      <c r="N237" s="4">
        <v>30.5</v>
      </c>
      <c r="O237" s="4">
        <v>9.4</v>
      </c>
      <c r="P237" s="4">
        <v>839.5</v>
      </c>
      <c r="Q237" s="5">
        <v>0.9</v>
      </c>
    </row>
    <row r="238" spans="1:17">
      <c r="A238" s="3">
        <v>276</v>
      </c>
      <c r="B238" s="2" t="s">
        <v>203</v>
      </c>
      <c r="C238" s="2" t="s">
        <v>33</v>
      </c>
      <c r="D238" s="2" t="s">
        <v>204</v>
      </c>
      <c r="E238" s="2" t="s">
        <v>21</v>
      </c>
      <c r="F238" s="4">
        <v>13.3</v>
      </c>
      <c r="G238" s="4">
        <v>3710.2</v>
      </c>
      <c r="H238" s="2" t="s">
        <v>36</v>
      </c>
      <c r="I238" s="2" t="s">
        <v>23</v>
      </c>
      <c r="J238" s="3">
        <v>135</v>
      </c>
      <c r="K238" s="5">
        <v>1.06</v>
      </c>
      <c r="L238" s="4">
        <v>64</v>
      </c>
      <c r="M238" s="4">
        <v>2787.8</v>
      </c>
      <c r="N238" s="4">
        <v>30.8</v>
      </c>
      <c r="O238" s="4">
        <v>10.1</v>
      </c>
      <c r="P238" s="4">
        <v>757.2</v>
      </c>
      <c r="Q238" s="5">
        <v>0.8</v>
      </c>
    </row>
    <row r="239" spans="1:17">
      <c r="A239" s="3">
        <v>2</v>
      </c>
      <c r="B239" s="2" t="s">
        <v>18</v>
      </c>
      <c r="C239" s="2" t="s">
        <v>24</v>
      </c>
      <c r="D239" s="2" t="s">
        <v>20</v>
      </c>
      <c r="E239" s="2" t="s">
        <v>21</v>
      </c>
      <c r="F239" s="4">
        <v>25.2</v>
      </c>
      <c r="G239" s="4">
        <v>5516.7</v>
      </c>
      <c r="H239" s="2" t="s">
        <v>22</v>
      </c>
      <c r="I239" s="2" t="s">
        <v>23</v>
      </c>
      <c r="J239" s="3">
        <v>130</v>
      </c>
      <c r="K239" s="5">
        <v>0.82</v>
      </c>
      <c r="L239" s="4">
        <v>64.2</v>
      </c>
      <c r="M239" s="4">
        <v>2281.1</v>
      </c>
      <c r="N239" s="4">
        <v>37.700000000000003</v>
      </c>
      <c r="O239" s="4">
        <v>8.4</v>
      </c>
      <c r="P239" s="4">
        <v>730.8</v>
      </c>
      <c r="Q239" s="5">
        <v>0.6</v>
      </c>
    </row>
    <row r="240" spans="1:17">
      <c r="A240" s="3">
        <v>225</v>
      </c>
      <c r="B240" s="2" t="s">
        <v>169</v>
      </c>
      <c r="C240" s="2" t="s">
        <v>24</v>
      </c>
      <c r="D240" s="2" t="s">
        <v>170</v>
      </c>
      <c r="E240" s="2" t="s">
        <v>35</v>
      </c>
      <c r="F240" s="4">
        <v>9.6</v>
      </c>
      <c r="G240" s="4">
        <v>3331</v>
      </c>
      <c r="H240" s="2" t="s">
        <v>39</v>
      </c>
      <c r="I240" s="2" t="s">
        <v>23</v>
      </c>
      <c r="J240" s="3">
        <v>600</v>
      </c>
      <c r="K240" s="5">
        <v>1.03</v>
      </c>
      <c r="L240" s="4">
        <v>64.2</v>
      </c>
      <c r="M240" s="4">
        <v>2708.2</v>
      </c>
      <c r="N240" s="4">
        <v>31.7</v>
      </c>
      <c r="O240" s="4">
        <v>6</v>
      </c>
      <c r="P240" s="4">
        <v>3375</v>
      </c>
      <c r="Q240" s="5">
        <v>3.47</v>
      </c>
    </row>
    <row r="241" spans="1:17">
      <c r="A241" s="3">
        <v>349</v>
      </c>
      <c r="B241" s="2" t="s">
        <v>233</v>
      </c>
      <c r="C241" s="2" t="s">
        <v>33</v>
      </c>
      <c r="D241" s="2" t="s">
        <v>234</v>
      </c>
      <c r="E241" s="2" t="s">
        <v>35</v>
      </c>
      <c r="F241" s="4">
        <v>16</v>
      </c>
      <c r="G241" s="4">
        <v>4264.3999999999996</v>
      </c>
      <c r="H241" s="2" t="s">
        <v>29</v>
      </c>
      <c r="I241" s="2" t="s">
        <v>23</v>
      </c>
      <c r="J241" s="3">
        <v>250</v>
      </c>
      <c r="K241" s="5">
        <v>1.1299999999999999</v>
      </c>
      <c r="L241" s="4">
        <v>64.2</v>
      </c>
      <c r="M241" s="4">
        <v>2978.4</v>
      </c>
      <c r="N241" s="4">
        <v>28.9</v>
      </c>
      <c r="O241" s="4">
        <v>7.7</v>
      </c>
      <c r="P241" s="4">
        <v>1406</v>
      </c>
      <c r="Q241" s="5">
        <v>1.59</v>
      </c>
    </row>
    <row r="242" spans="1:17">
      <c r="A242" s="3">
        <v>87</v>
      </c>
      <c r="B242" s="2" t="s">
        <v>90</v>
      </c>
      <c r="C242" s="2" t="s">
        <v>78</v>
      </c>
      <c r="D242" s="2" t="s">
        <v>46</v>
      </c>
      <c r="E242" s="2" t="s">
        <v>47</v>
      </c>
      <c r="F242" s="4">
        <v>17.399999999999999</v>
      </c>
      <c r="G242" s="4">
        <v>3494.8</v>
      </c>
      <c r="H242" s="2" t="s">
        <v>39</v>
      </c>
      <c r="I242" s="2" t="s">
        <v>23</v>
      </c>
      <c r="J242" s="3">
        <v>500</v>
      </c>
      <c r="K242" s="5">
        <v>0.96</v>
      </c>
      <c r="L242" s="4">
        <v>64.3</v>
      </c>
      <c r="M242" s="4">
        <v>2543.1999999999998</v>
      </c>
      <c r="N242" s="4">
        <v>33.799999999999997</v>
      </c>
      <c r="O242" s="4">
        <v>6.6</v>
      </c>
      <c r="P242" s="4">
        <v>2815.1</v>
      </c>
      <c r="Q242" s="5">
        <v>2.71</v>
      </c>
    </row>
    <row r="243" spans="1:17">
      <c r="A243" s="3">
        <v>438</v>
      </c>
      <c r="B243" s="2" t="s">
        <v>269</v>
      </c>
      <c r="C243" s="2" t="s">
        <v>24</v>
      </c>
      <c r="D243" s="2" t="s">
        <v>242</v>
      </c>
      <c r="E243" s="2" t="s">
        <v>21</v>
      </c>
      <c r="F243" s="4">
        <v>10.4</v>
      </c>
      <c r="G243" s="4">
        <v>2095</v>
      </c>
      <c r="H243" s="2" t="s">
        <v>43</v>
      </c>
      <c r="I243" s="2" t="s">
        <v>23</v>
      </c>
      <c r="J243" s="3">
        <v>30</v>
      </c>
      <c r="K243" s="5">
        <v>1.36</v>
      </c>
      <c r="L243" s="4">
        <v>64.3</v>
      </c>
      <c r="M243" s="4">
        <v>3580.5</v>
      </c>
      <c r="N243" s="4">
        <v>24</v>
      </c>
      <c r="O243" s="4">
        <v>13.5</v>
      </c>
      <c r="P243" s="4">
        <v>168.8</v>
      </c>
      <c r="Q243" s="5">
        <v>0.23</v>
      </c>
    </row>
    <row r="244" spans="1:17">
      <c r="A244" s="3">
        <v>20</v>
      </c>
      <c r="B244" s="2" t="s">
        <v>53</v>
      </c>
      <c r="C244" s="2" t="s">
        <v>45</v>
      </c>
      <c r="D244" s="2" t="s">
        <v>46</v>
      </c>
      <c r="E244" s="2" t="s">
        <v>47</v>
      </c>
      <c r="F244" s="4">
        <v>19.899999999999999</v>
      </c>
      <c r="G244" s="4">
        <v>3494.4</v>
      </c>
      <c r="H244" s="2" t="s">
        <v>39</v>
      </c>
      <c r="I244" s="2" t="s">
        <v>23</v>
      </c>
      <c r="J244" s="3">
        <v>500</v>
      </c>
      <c r="K244" s="5">
        <v>0.93</v>
      </c>
      <c r="L244" s="4">
        <v>64.400000000000006</v>
      </c>
      <c r="M244" s="4">
        <v>2451</v>
      </c>
      <c r="N244" s="4">
        <v>35.1</v>
      </c>
      <c r="O244" s="4">
        <v>6.7</v>
      </c>
      <c r="P244" s="4">
        <v>2822.3</v>
      </c>
      <c r="Q244" s="5">
        <v>2.62</v>
      </c>
    </row>
    <row r="245" spans="1:17">
      <c r="A245" s="3">
        <v>52</v>
      </c>
      <c r="B245" s="2" t="s">
        <v>88</v>
      </c>
      <c r="C245" s="2" t="s">
        <v>24</v>
      </c>
      <c r="D245" s="2" t="s">
        <v>89</v>
      </c>
      <c r="E245" s="2" t="s">
        <v>21</v>
      </c>
      <c r="F245" s="4">
        <v>9.4</v>
      </c>
      <c r="G245" s="4">
        <v>3334.6</v>
      </c>
      <c r="H245" s="2" t="s">
        <v>39</v>
      </c>
      <c r="I245" s="2" t="s">
        <v>23</v>
      </c>
      <c r="J245" s="3">
        <v>600</v>
      </c>
      <c r="K245" s="5">
        <v>0.95</v>
      </c>
      <c r="L245" s="4">
        <v>64.5</v>
      </c>
      <c r="M245" s="4">
        <v>2496.8000000000002</v>
      </c>
      <c r="N245" s="4">
        <v>34.4</v>
      </c>
      <c r="O245" s="4">
        <v>5.4</v>
      </c>
      <c r="P245" s="4">
        <v>3391</v>
      </c>
      <c r="Q245" s="5">
        <v>3.21</v>
      </c>
    </row>
    <row r="246" spans="1:17">
      <c r="A246" s="3">
        <v>81</v>
      </c>
      <c r="B246" s="2" t="s">
        <v>106</v>
      </c>
      <c r="C246" s="2" t="s">
        <v>19</v>
      </c>
      <c r="D246" s="2" t="s">
        <v>107</v>
      </c>
      <c r="E246" s="2" t="s">
        <v>47</v>
      </c>
      <c r="F246" s="4">
        <v>12.4</v>
      </c>
      <c r="G246" s="4">
        <v>3159.6</v>
      </c>
      <c r="H246" s="2" t="s">
        <v>39</v>
      </c>
      <c r="I246" s="2" t="s">
        <v>23</v>
      </c>
      <c r="J246" s="3">
        <v>500</v>
      </c>
      <c r="K246" s="5">
        <v>0.96</v>
      </c>
      <c r="L246" s="4">
        <v>64.7</v>
      </c>
      <c r="M246" s="4">
        <v>2530.3000000000002</v>
      </c>
      <c r="N246" s="4">
        <v>34</v>
      </c>
      <c r="O246" s="4">
        <v>4.9000000000000004</v>
      </c>
      <c r="P246" s="4">
        <v>2833</v>
      </c>
      <c r="Q246" s="5">
        <v>2.72</v>
      </c>
    </row>
    <row r="247" spans="1:17">
      <c r="A247" s="3">
        <v>80</v>
      </c>
      <c r="B247" s="2" t="s">
        <v>106</v>
      </c>
      <c r="C247" s="2" t="s">
        <v>41</v>
      </c>
      <c r="D247" s="2" t="s">
        <v>107</v>
      </c>
      <c r="E247" s="2" t="s">
        <v>47</v>
      </c>
      <c r="F247" s="4">
        <v>9.4</v>
      </c>
      <c r="G247" s="4">
        <v>3159.6</v>
      </c>
      <c r="H247" s="2" t="s">
        <v>39</v>
      </c>
      <c r="I247" s="2" t="s">
        <v>23</v>
      </c>
      <c r="J247" s="3">
        <v>500</v>
      </c>
      <c r="K247" s="5">
        <v>0.96</v>
      </c>
      <c r="L247" s="4">
        <v>64.8</v>
      </c>
      <c r="M247" s="4">
        <v>2530.3000000000002</v>
      </c>
      <c r="N247" s="4">
        <v>34</v>
      </c>
      <c r="O247" s="4">
        <v>4.9000000000000004</v>
      </c>
      <c r="P247" s="4">
        <v>2840.1</v>
      </c>
      <c r="Q247" s="5">
        <v>2.73</v>
      </c>
    </row>
    <row r="248" spans="1:17">
      <c r="A248" s="3">
        <v>161</v>
      </c>
      <c r="B248" s="2" t="s">
        <v>132</v>
      </c>
      <c r="C248" s="2" t="s">
        <v>41</v>
      </c>
      <c r="D248" s="2" t="s">
        <v>133</v>
      </c>
      <c r="E248" s="2" t="s">
        <v>21</v>
      </c>
      <c r="F248" s="4">
        <v>6.5</v>
      </c>
      <c r="G248" s="4">
        <v>3695</v>
      </c>
      <c r="H248" s="2" t="s">
        <v>36</v>
      </c>
      <c r="I248" s="2" t="s">
        <v>23</v>
      </c>
      <c r="J248" s="3">
        <v>600</v>
      </c>
      <c r="K248" s="5">
        <v>0.99</v>
      </c>
      <c r="L248" s="4">
        <v>65</v>
      </c>
      <c r="M248" s="4">
        <v>2605.6999999999998</v>
      </c>
      <c r="N248" s="4">
        <v>33</v>
      </c>
      <c r="O248" s="4">
        <v>10.5</v>
      </c>
      <c r="P248" s="4">
        <v>3417</v>
      </c>
      <c r="Q248" s="5">
        <v>3.38</v>
      </c>
    </row>
    <row r="249" spans="1:17">
      <c r="A249" s="3">
        <v>177</v>
      </c>
      <c r="B249" s="2" t="s">
        <v>158</v>
      </c>
      <c r="C249" s="2" t="s">
        <v>19</v>
      </c>
      <c r="D249" s="2" t="s">
        <v>159</v>
      </c>
      <c r="E249" s="2" t="s">
        <v>21</v>
      </c>
      <c r="F249" s="4">
        <v>9.3000000000000007</v>
      </c>
      <c r="G249" s="4">
        <v>3418</v>
      </c>
      <c r="H249" s="2" t="s">
        <v>39</v>
      </c>
      <c r="I249" s="2" t="s">
        <v>23</v>
      </c>
      <c r="J249" s="3">
        <v>600</v>
      </c>
      <c r="K249" s="5">
        <v>1</v>
      </c>
      <c r="L249" s="4">
        <v>65</v>
      </c>
      <c r="M249" s="4">
        <v>2631.2</v>
      </c>
      <c r="N249" s="4">
        <v>32.700000000000003</v>
      </c>
      <c r="O249" s="4">
        <v>6.1</v>
      </c>
      <c r="P249" s="4">
        <v>3417.3</v>
      </c>
      <c r="Q249" s="5">
        <v>3.41</v>
      </c>
    </row>
    <row r="250" spans="1:17">
      <c r="A250" s="3">
        <v>356</v>
      </c>
      <c r="B250" s="2" t="s">
        <v>223</v>
      </c>
      <c r="C250" s="2" t="s">
        <v>51</v>
      </c>
      <c r="D250" s="2" t="s">
        <v>162</v>
      </c>
      <c r="E250" s="2" t="s">
        <v>35</v>
      </c>
      <c r="F250" s="4">
        <v>36.700000000000003</v>
      </c>
      <c r="G250" s="4">
        <v>3626.2</v>
      </c>
      <c r="H250" s="2" t="s">
        <v>36</v>
      </c>
      <c r="I250" s="2" t="s">
        <v>23</v>
      </c>
      <c r="J250" s="3">
        <v>210</v>
      </c>
      <c r="K250" s="5">
        <v>1.1399999999999999</v>
      </c>
      <c r="L250" s="4">
        <v>65</v>
      </c>
      <c r="M250" s="4">
        <v>2978.6</v>
      </c>
      <c r="N250" s="4">
        <v>28.9</v>
      </c>
      <c r="O250" s="4">
        <v>10.9</v>
      </c>
      <c r="P250" s="4">
        <v>1195</v>
      </c>
      <c r="Q250" s="5">
        <v>1.36</v>
      </c>
    </row>
    <row r="251" spans="1:17">
      <c r="A251" s="3">
        <v>172</v>
      </c>
      <c r="B251" s="2" t="s">
        <v>156</v>
      </c>
      <c r="C251" s="2" t="s">
        <v>24</v>
      </c>
      <c r="D251" s="2" t="s">
        <v>157</v>
      </c>
      <c r="E251" s="2" t="s">
        <v>47</v>
      </c>
      <c r="F251" s="4">
        <v>7.3</v>
      </c>
      <c r="G251" s="4">
        <v>3435</v>
      </c>
      <c r="H251" s="2" t="s">
        <v>39</v>
      </c>
      <c r="I251" s="2" t="s">
        <v>23</v>
      </c>
      <c r="J251" s="3">
        <v>250</v>
      </c>
      <c r="K251" s="5">
        <v>1</v>
      </c>
      <c r="L251" s="4">
        <v>65.2</v>
      </c>
      <c r="M251" s="4">
        <v>2626.3</v>
      </c>
      <c r="N251" s="4">
        <v>32.700000000000003</v>
      </c>
      <c r="O251" s="4">
        <v>7.7</v>
      </c>
      <c r="P251" s="4">
        <v>1427.2</v>
      </c>
      <c r="Q251" s="5">
        <v>1.42</v>
      </c>
    </row>
    <row r="252" spans="1:17">
      <c r="A252" s="3">
        <v>173</v>
      </c>
      <c r="B252" s="2" t="s">
        <v>156</v>
      </c>
      <c r="C252" s="2" t="s">
        <v>41</v>
      </c>
      <c r="D252" s="2" t="s">
        <v>157</v>
      </c>
      <c r="E252" s="2" t="s">
        <v>47</v>
      </c>
      <c r="F252" s="4">
        <v>5.4</v>
      </c>
      <c r="G252" s="4">
        <v>3435</v>
      </c>
      <c r="H252" s="2" t="s">
        <v>39</v>
      </c>
      <c r="I252" s="2" t="s">
        <v>23</v>
      </c>
      <c r="J252" s="3">
        <v>250</v>
      </c>
      <c r="K252" s="5">
        <v>1</v>
      </c>
      <c r="L252" s="4">
        <v>65.2</v>
      </c>
      <c r="M252" s="4">
        <v>2626.3</v>
      </c>
      <c r="N252" s="4">
        <v>32.700000000000003</v>
      </c>
      <c r="O252" s="4">
        <v>7.7</v>
      </c>
      <c r="P252" s="4">
        <v>1427</v>
      </c>
      <c r="Q252" s="5">
        <v>1.42</v>
      </c>
    </row>
    <row r="253" spans="1:17">
      <c r="A253" s="3">
        <v>196</v>
      </c>
      <c r="B253" s="2" t="s">
        <v>90</v>
      </c>
      <c r="C253" s="2" t="s">
        <v>33</v>
      </c>
      <c r="D253" s="2" t="s">
        <v>46</v>
      </c>
      <c r="E253" s="2" t="s">
        <v>47</v>
      </c>
      <c r="F253" s="4">
        <v>28.4</v>
      </c>
      <c r="G253" s="4">
        <v>3512.3</v>
      </c>
      <c r="H253" s="2" t="s">
        <v>36</v>
      </c>
      <c r="I253" s="2" t="s">
        <v>23</v>
      </c>
      <c r="J253" s="3">
        <v>210</v>
      </c>
      <c r="K253" s="5">
        <v>1.01</v>
      </c>
      <c r="L253" s="4">
        <v>65.2</v>
      </c>
      <c r="M253" s="4">
        <v>2662.1</v>
      </c>
      <c r="N253" s="4">
        <v>32.299999999999997</v>
      </c>
      <c r="O253" s="4">
        <v>9.1999999999999993</v>
      </c>
      <c r="P253" s="4">
        <v>1199.5</v>
      </c>
      <c r="Q253" s="5">
        <v>1.21</v>
      </c>
    </row>
    <row r="254" spans="1:17">
      <c r="A254" s="3">
        <v>104</v>
      </c>
      <c r="B254" s="2" t="s">
        <v>111</v>
      </c>
      <c r="C254" s="2" t="s">
        <v>41</v>
      </c>
      <c r="D254" s="2" t="s">
        <v>101</v>
      </c>
      <c r="E254" s="2" t="s">
        <v>21</v>
      </c>
      <c r="F254" s="4">
        <v>12.6</v>
      </c>
      <c r="G254" s="4">
        <v>3835</v>
      </c>
      <c r="H254" s="2" t="s">
        <v>36</v>
      </c>
      <c r="I254" s="2" t="s">
        <v>23</v>
      </c>
      <c r="J254" s="3">
        <v>300</v>
      </c>
      <c r="K254" s="5">
        <v>0.97</v>
      </c>
      <c r="L254" s="4">
        <v>65.3</v>
      </c>
      <c r="M254" s="4">
        <v>2552.3000000000002</v>
      </c>
      <c r="N254" s="4">
        <v>33.700000000000003</v>
      </c>
      <c r="O254" s="4">
        <v>7</v>
      </c>
      <c r="P254" s="4">
        <v>1716.8</v>
      </c>
      <c r="Q254" s="5">
        <v>1.66</v>
      </c>
    </row>
    <row r="255" spans="1:17">
      <c r="A255" s="3">
        <v>251</v>
      </c>
      <c r="B255" s="2" t="s">
        <v>181</v>
      </c>
      <c r="C255" s="2" t="s">
        <v>51</v>
      </c>
      <c r="D255" s="2" t="s">
        <v>116</v>
      </c>
      <c r="E255" s="2" t="s">
        <v>47</v>
      </c>
      <c r="F255" s="4">
        <v>16.8</v>
      </c>
      <c r="G255" s="4">
        <v>3552.1</v>
      </c>
      <c r="H255" s="2" t="s">
        <v>36</v>
      </c>
      <c r="I255" s="2" t="s">
        <v>23</v>
      </c>
      <c r="J255" s="3">
        <v>250</v>
      </c>
      <c r="K255" s="5">
        <v>1.04</v>
      </c>
      <c r="L255" s="4">
        <v>65.3</v>
      </c>
      <c r="M255" s="4">
        <v>2747</v>
      </c>
      <c r="N255" s="4">
        <v>31.3</v>
      </c>
      <c r="O255" s="4">
        <v>10.6</v>
      </c>
      <c r="P255" s="4">
        <v>1429.8</v>
      </c>
      <c r="Q255" s="5">
        <v>1.49</v>
      </c>
    </row>
    <row r="256" spans="1:17">
      <c r="A256" s="3">
        <v>323</v>
      </c>
      <c r="B256" s="2" t="s">
        <v>200</v>
      </c>
      <c r="C256" s="2" t="s">
        <v>24</v>
      </c>
      <c r="D256" s="2" t="s">
        <v>119</v>
      </c>
      <c r="E256" s="2" t="s">
        <v>35</v>
      </c>
      <c r="F256" s="4">
        <v>43.8</v>
      </c>
      <c r="G256" s="4">
        <v>2829</v>
      </c>
      <c r="H256" s="2" t="s">
        <v>43</v>
      </c>
      <c r="I256" s="2" t="s">
        <v>23</v>
      </c>
      <c r="J256" s="3">
        <v>210</v>
      </c>
      <c r="K256" s="5">
        <v>1.1000000000000001</v>
      </c>
      <c r="L256" s="4">
        <v>65.3</v>
      </c>
      <c r="M256" s="4">
        <v>2880.8</v>
      </c>
      <c r="N256" s="4">
        <v>29.8</v>
      </c>
      <c r="O256" s="4">
        <v>10</v>
      </c>
      <c r="P256" s="4">
        <v>1202</v>
      </c>
      <c r="Q256" s="5">
        <v>1.32</v>
      </c>
    </row>
    <row r="257" spans="1:17">
      <c r="A257" s="3">
        <v>147</v>
      </c>
      <c r="B257" s="2" t="s">
        <v>131</v>
      </c>
      <c r="C257" s="2" t="s">
        <v>19</v>
      </c>
      <c r="D257" s="2" t="s">
        <v>20</v>
      </c>
      <c r="E257" s="2" t="s">
        <v>21</v>
      </c>
      <c r="F257" s="4">
        <v>16.7</v>
      </c>
      <c r="G257" s="4">
        <v>2888.2</v>
      </c>
      <c r="H257" s="2" t="s">
        <v>43</v>
      </c>
      <c r="I257" s="2" t="s">
        <v>23</v>
      </c>
      <c r="J257" s="3">
        <v>250</v>
      </c>
      <c r="K257" s="5">
        <v>0.98</v>
      </c>
      <c r="L257" s="4">
        <v>65.400000000000006</v>
      </c>
      <c r="M257" s="4">
        <v>2600.3000000000002</v>
      </c>
      <c r="N257" s="4">
        <v>33.1</v>
      </c>
      <c r="O257" s="4">
        <v>10.3</v>
      </c>
      <c r="P257" s="4">
        <v>1433.3</v>
      </c>
      <c r="Q257" s="5">
        <v>1.41</v>
      </c>
    </row>
    <row r="258" spans="1:17">
      <c r="A258" s="3">
        <v>210</v>
      </c>
      <c r="B258" s="2" t="s">
        <v>94</v>
      </c>
      <c r="C258" s="2" t="s">
        <v>24</v>
      </c>
      <c r="D258" s="2" t="s">
        <v>46</v>
      </c>
      <c r="E258" s="2" t="s">
        <v>47</v>
      </c>
      <c r="F258" s="4">
        <v>31.6</v>
      </c>
      <c r="G258" s="4">
        <v>3783.4</v>
      </c>
      <c r="H258" s="2" t="s">
        <v>36</v>
      </c>
      <c r="I258" s="2" t="s">
        <v>23</v>
      </c>
      <c r="J258" s="3">
        <v>210</v>
      </c>
      <c r="K258" s="5">
        <v>1.02</v>
      </c>
      <c r="L258" s="4">
        <v>65.400000000000006</v>
      </c>
      <c r="M258" s="4">
        <v>2707.2</v>
      </c>
      <c r="N258" s="4">
        <v>31.8</v>
      </c>
      <c r="O258" s="4">
        <v>8.8000000000000007</v>
      </c>
      <c r="P258" s="4">
        <v>1203.4000000000001</v>
      </c>
      <c r="Q258" s="5">
        <v>1.23</v>
      </c>
    </row>
    <row r="259" spans="1:17">
      <c r="A259" s="3">
        <v>331</v>
      </c>
      <c r="B259" s="2" t="s">
        <v>221</v>
      </c>
      <c r="C259" s="2" t="s">
        <v>51</v>
      </c>
      <c r="D259" s="2" t="s">
        <v>114</v>
      </c>
      <c r="E259" s="2" t="s">
        <v>35</v>
      </c>
      <c r="F259" s="4">
        <v>23.3</v>
      </c>
      <c r="G259" s="4">
        <v>3775.7</v>
      </c>
      <c r="H259" s="2" t="s">
        <v>36</v>
      </c>
      <c r="I259" s="2" t="s">
        <v>23</v>
      </c>
      <c r="J259" s="3">
        <v>210</v>
      </c>
      <c r="K259" s="5">
        <v>1.1000000000000001</v>
      </c>
      <c r="L259" s="4">
        <v>65.5</v>
      </c>
      <c r="M259" s="4">
        <v>2914</v>
      </c>
      <c r="N259" s="4">
        <v>29.5</v>
      </c>
      <c r="O259" s="4">
        <v>9.6</v>
      </c>
      <c r="P259" s="4">
        <v>1204.7</v>
      </c>
      <c r="Q259" s="5">
        <v>1.33</v>
      </c>
    </row>
    <row r="260" spans="1:17">
      <c r="A260" s="3">
        <v>284</v>
      </c>
      <c r="B260" s="2" t="s">
        <v>209</v>
      </c>
      <c r="C260" s="2" t="s">
        <v>24</v>
      </c>
      <c r="D260" s="2" t="s">
        <v>210</v>
      </c>
      <c r="E260" s="2" t="s">
        <v>21</v>
      </c>
      <c r="F260" s="4">
        <v>6.6</v>
      </c>
      <c r="G260" s="4">
        <v>3287</v>
      </c>
      <c r="H260" s="2" t="s">
        <v>39</v>
      </c>
      <c r="I260" s="2" t="s">
        <v>23</v>
      </c>
      <c r="J260" s="3">
        <v>150</v>
      </c>
      <c r="K260" s="5">
        <v>1.07</v>
      </c>
      <c r="L260" s="4">
        <v>65.7</v>
      </c>
      <c r="M260" s="4">
        <v>2812.8</v>
      </c>
      <c r="N260" s="4">
        <v>30.6</v>
      </c>
      <c r="O260" s="4">
        <v>9.4</v>
      </c>
      <c r="P260" s="4">
        <v>862.8</v>
      </c>
      <c r="Q260" s="5">
        <v>0.92</v>
      </c>
    </row>
    <row r="261" spans="1:17">
      <c r="A261" s="3">
        <v>423</v>
      </c>
      <c r="B261" s="2" t="s">
        <v>232</v>
      </c>
      <c r="C261" s="2" t="s">
        <v>24</v>
      </c>
      <c r="D261" s="2" t="s">
        <v>149</v>
      </c>
      <c r="E261" s="2" t="s">
        <v>35</v>
      </c>
      <c r="F261" s="4">
        <v>40.4</v>
      </c>
      <c r="G261" s="4">
        <v>3640</v>
      </c>
      <c r="H261" s="2" t="s">
        <v>36</v>
      </c>
      <c r="I261" s="2" t="s">
        <v>23</v>
      </c>
      <c r="J261" s="3">
        <v>210</v>
      </c>
      <c r="K261" s="5">
        <v>1.24</v>
      </c>
      <c r="L261" s="4">
        <v>65.7</v>
      </c>
      <c r="M261" s="4">
        <v>3263.7</v>
      </c>
      <c r="N261" s="4">
        <v>26.3</v>
      </c>
      <c r="O261" s="4">
        <v>10.5</v>
      </c>
      <c r="P261" s="4">
        <v>1209</v>
      </c>
      <c r="Q261" s="5">
        <v>1.5</v>
      </c>
    </row>
    <row r="262" spans="1:17">
      <c r="A262" s="3">
        <v>69</v>
      </c>
      <c r="B262" s="2" t="s">
        <v>100</v>
      </c>
      <c r="C262" s="2" t="s">
        <v>19</v>
      </c>
      <c r="D262" s="2" t="s">
        <v>101</v>
      </c>
      <c r="E262" s="2" t="s">
        <v>21</v>
      </c>
      <c r="F262" s="4">
        <v>14.5</v>
      </c>
      <c r="G262" s="4">
        <v>3835</v>
      </c>
      <c r="H262" s="2" t="s">
        <v>36</v>
      </c>
      <c r="I262" s="2" t="s">
        <v>23</v>
      </c>
      <c r="J262" s="3">
        <v>300</v>
      </c>
      <c r="K262" s="5">
        <v>0.95</v>
      </c>
      <c r="L262" s="4">
        <v>65.8</v>
      </c>
      <c r="M262" s="4">
        <v>2510.3000000000002</v>
      </c>
      <c r="N262" s="4">
        <v>34.299999999999997</v>
      </c>
      <c r="O262" s="4">
        <v>8.3000000000000007</v>
      </c>
      <c r="P262" s="4">
        <v>1728.6</v>
      </c>
      <c r="Q262" s="5">
        <v>1.65</v>
      </c>
    </row>
    <row r="263" spans="1:17">
      <c r="A263" s="3">
        <v>185</v>
      </c>
      <c r="B263" s="2" t="s">
        <v>163</v>
      </c>
      <c r="C263" s="2" t="s">
        <v>19</v>
      </c>
      <c r="D263" s="2" t="s">
        <v>46</v>
      </c>
      <c r="E263" s="2" t="s">
        <v>47</v>
      </c>
      <c r="F263" s="4">
        <v>9.1</v>
      </c>
      <c r="G263" s="4">
        <v>4053.6</v>
      </c>
      <c r="H263" s="2" t="s">
        <v>29</v>
      </c>
      <c r="I263" s="2" t="s">
        <v>23</v>
      </c>
      <c r="J263" s="3">
        <v>250</v>
      </c>
      <c r="K263" s="5">
        <v>1</v>
      </c>
      <c r="L263" s="4">
        <v>65.900000000000006</v>
      </c>
      <c r="M263" s="4">
        <v>2633</v>
      </c>
      <c r="N263" s="4">
        <v>32.700000000000003</v>
      </c>
      <c r="O263" s="4">
        <v>8.6</v>
      </c>
      <c r="P263" s="4">
        <v>1444</v>
      </c>
      <c r="Q263" s="5">
        <v>1.44</v>
      </c>
    </row>
    <row r="264" spans="1:17">
      <c r="A264" s="3">
        <v>211</v>
      </c>
      <c r="B264" s="2" t="s">
        <v>94</v>
      </c>
      <c r="C264" s="2" t="s">
        <v>41</v>
      </c>
      <c r="D264" s="2" t="s">
        <v>46</v>
      </c>
      <c r="E264" s="2" t="s">
        <v>47</v>
      </c>
      <c r="F264" s="4">
        <v>32.1</v>
      </c>
      <c r="G264" s="4">
        <v>3787.4</v>
      </c>
      <c r="H264" s="2" t="s">
        <v>36</v>
      </c>
      <c r="I264" s="2" t="s">
        <v>23</v>
      </c>
      <c r="J264" s="3">
        <v>210</v>
      </c>
      <c r="K264" s="5">
        <v>1.02</v>
      </c>
      <c r="L264" s="4">
        <v>65.900000000000006</v>
      </c>
      <c r="M264" s="4">
        <v>2707.8</v>
      </c>
      <c r="N264" s="4">
        <v>31.8</v>
      </c>
      <c r="O264" s="4">
        <v>8</v>
      </c>
      <c r="P264" s="4">
        <v>1212.9000000000001</v>
      </c>
      <c r="Q264" s="5">
        <v>1.24</v>
      </c>
    </row>
    <row r="265" spans="1:17">
      <c r="A265" s="3">
        <v>317</v>
      </c>
      <c r="B265" s="2" t="s">
        <v>118</v>
      </c>
      <c r="C265" s="2" t="s">
        <v>78</v>
      </c>
      <c r="D265" s="2" t="s">
        <v>119</v>
      </c>
      <c r="E265" s="2" t="s">
        <v>35</v>
      </c>
      <c r="F265" s="4">
        <v>13.6</v>
      </c>
      <c r="G265" s="4">
        <v>3234</v>
      </c>
      <c r="H265" s="2" t="s">
        <v>39</v>
      </c>
      <c r="I265" s="2" t="s">
        <v>23</v>
      </c>
      <c r="J265" s="3">
        <v>210</v>
      </c>
      <c r="K265" s="5">
        <v>1.0900000000000001</v>
      </c>
      <c r="L265" s="4">
        <v>66.2</v>
      </c>
      <c r="M265" s="4">
        <v>2876.4</v>
      </c>
      <c r="N265" s="4">
        <v>29.9</v>
      </c>
      <c r="O265" s="4">
        <v>10.6</v>
      </c>
      <c r="P265" s="4">
        <v>1218.5</v>
      </c>
      <c r="Q265" s="5">
        <v>1.33</v>
      </c>
    </row>
    <row r="266" spans="1:17">
      <c r="A266" s="3">
        <v>243</v>
      </c>
      <c r="B266" s="2" t="s">
        <v>186</v>
      </c>
      <c r="C266" s="2" t="s">
        <v>24</v>
      </c>
      <c r="D266" s="2" t="s">
        <v>187</v>
      </c>
      <c r="E266" s="2" t="s">
        <v>47</v>
      </c>
      <c r="F266" s="4">
        <v>9.1</v>
      </c>
      <c r="G266" s="4">
        <v>3596.7</v>
      </c>
      <c r="H266" s="2" t="s">
        <v>36</v>
      </c>
      <c r="I266" s="2" t="s">
        <v>23</v>
      </c>
      <c r="J266" s="3">
        <v>500</v>
      </c>
      <c r="K266" s="5">
        <v>1.04</v>
      </c>
      <c r="L266" s="4">
        <v>66.3</v>
      </c>
      <c r="M266" s="4">
        <v>2775</v>
      </c>
      <c r="N266" s="4">
        <v>31</v>
      </c>
      <c r="O266" s="4">
        <v>6.8</v>
      </c>
      <c r="P266" s="4">
        <v>2905.3</v>
      </c>
      <c r="Q266" s="5">
        <v>3.02</v>
      </c>
    </row>
    <row r="267" spans="1:17">
      <c r="A267" s="3">
        <v>316</v>
      </c>
      <c r="B267" s="2" t="s">
        <v>224</v>
      </c>
      <c r="C267" s="2" t="s">
        <v>41</v>
      </c>
      <c r="D267" s="2" t="s">
        <v>162</v>
      </c>
      <c r="E267" s="2" t="s">
        <v>35</v>
      </c>
      <c r="F267" s="4">
        <v>34.4</v>
      </c>
      <c r="G267" s="4">
        <v>3653.3</v>
      </c>
      <c r="H267" s="2" t="s">
        <v>36</v>
      </c>
      <c r="I267" s="2" t="s">
        <v>23</v>
      </c>
      <c r="J267" s="3">
        <v>210</v>
      </c>
      <c r="K267" s="5">
        <v>1.0900000000000001</v>
      </c>
      <c r="L267" s="4">
        <v>66.3</v>
      </c>
      <c r="M267" s="4">
        <v>2837.9</v>
      </c>
      <c r="N267" s="4">
        <v>30.3</v>
      </c>
      <c r="O267" s="4">
        <v>10.5</v>
      </c>
      <c r="P267" s="4">
        <v>1220</v>
      </c>
      <c r="Q267" s="5">
        <v>1.33</v>
      </c>
    </row>
    <row r="268" spans="1:17">
      <c r="A268" s="3">
        <v>253</v>
      </c>
      <c r="B268" s="2" t="s">
        <v>188</v>
      </c>
      <c r="C268" s="2" t="s">
        <v>24</v>
      </c>
      <c r="D268" s="2" t="s">
        <v>58</v>
      </c>
      <c r="E268" s="2" t="s">
        <v>35</v>
      </c>
      <c r="F268" s="4">
        <v>16.399999999999999</v>
      </c>
      <c r="G268" s="4">
        <v>3126</v>
      </c>
      <c r="H268" s="2" t="s">
        <v>39</v>
      </c>
      <c r="I268" s="2" t="s">
        <v>23</v>
      </c>
      <c r="J268" s="3">
        <v>250</v>
      </c>
      <c r="K268" s="5">
        <v>1.04</v>
      </c>
      <c r="L268" s="4">
        <v>66.400000000000006</v>
      </c>
      <c r="M268" s="4">
        <v>2736.8</v>
      </c>
      <c r="N268" s="4">
        <v>31.4</v>
      </c>
      <c r="O268" s="4">
        <v>10.9</v>
      </c>
      <c r="P268" s="4">
        <v>1454.9</v>
      </c>
      <c r="Q268" s="5">
        <v>1.52</v>
      </c>
    </row>
    <row r="269" spans="1:17">
      <c r="A269" s="3">
        <v>321</v>
      </c>
      <c r="B269" s="2" t="s">
        <v>200</v>
      </c>
      <c r="C269" s="2" t="s">
        <v>33</v>
      </c>
      <c r="D269" s="2" t="s">
        <v>119</v>
      </c>
      <c r="E269" s="2" t="s">
        <v>35</v>
      </c>
      <c r="F269" s="4">
        <v>34</v>
      </c>
      <c r="G269" s="4">
        <v>2867</v>
      </c>
      <c r="H269" s="2" t="s">
        <v>43</v>
      </c>
      <c r="I269" s="2" t="s">
        <v>23</v>
      </c>
      <c r="J269" s="3">
        <v>210</v>
      </c>
      <c r="K269" s="5">
        <v>1.1000000000000001</v>
      </c>
      <c r="L269" s="4">
        <v>66.400000000000006</v>
      </c>
      <c r="M269" s="4">
        <v>2874</v>
      </c>
      <c r="N269" s="4">
        <v>29.9</v>
      </c>
      <c r="O269" s="4">
        <v>10.1</v>
      </c>
      <c r="P269" s="4">
        <v>1222</v>
      </c>
      <c r="Q269" s="5">
        <v>1.34</v>
      </c>
    </row>
    <row r="270" spans="1:17">
      <c r="A270" s="3">
        <v>163</v>
      </c>
      <c r="B270" s="2" t="s">
        <v>151</v>
      </c>
      <c r="C270" s="2" t="s">
        <v>19</v>
      </c>
      <c r="D270" s="2" t="s">
        <v>152</v>
      </c>
      <c r="E270" s="2" t="s">
        <v>21</v>
      </c>
      <c r="F270" s="4">
        <v>8.4</v>
      </c>
      <c r="G270" s="4">
        <v>3346</v>
      </c>
      <c r="H270" s="2" t="s">
        <v>39</v>
      </c>
      <c r="I270" s="2" t="s">
        <v>23</v>
      </c>
      <c r="J270" s="3">
        <v>600</v>
      </c>
      <c r="K270" s="5">
        <v>0.99</v>
      </c>
      <c r="L270" s="4">
        <v>66.599999999999994</v>
      </c>
      <c r="M270" s="4">
        <v>2609.6</v>
      </c>
      <c r="N270" s="4">
        <v>32.9</v>
      </c>
      <c r="O270" s="4">
        <v>6.1</v>
      </c>
      <c r="P270" s="4">
        <v>3501.8</v>
      </c>
      <c r="Q270" s="5">
        <v>3.47</v>
      </c>
    </row>
    <row r="271" spans="1:17">
      <c r="A271" s="3">
        <v>153</v>
      </c>
      <c r="B271" s="2" t="s">
        <v>145</v>
      </c>
      <c r="C271" s="2" t="s">
        <v>41</v>
      </c>
      <c r="D271" s="2" t="s">
        <v>146</v>
      </c>
      <c r="E271" s="2" t="s">
        <v>47</v>
      </c>
      <c r="F271" s="4">
        <v>12.1</v>
      </c>
      <c r="G271" s="4">
        <v>3772.7</v>
      </c>
      <c r="H271" s="2" t="s">
        <v>36</v>
      </c>
      <c r="I271" s="2" t="s">
        <v>23</v>
      </c>
      <c r="J271" s="3">
        <v>500</v>
      </c>
      <c r="K271" s="5">
        <v>0.98</v>
      </c>
      <c r="L271" s="4">
        <v>67</v>
      </c>
      <c r="M271" s="4">
        <v>2592</v>
      </c>
      <c r="N271" s="4">
        <v>33.200000000000003</v>
      </c>
      <c r="O271" s="4">
        <v>6.1</v>
      </c>
      <c r="P271" s="4">
        <v>2934.1</v>
      </c>
      <c r="Q271" s="5">
        <v>2.89</v>
      </c>
    </row>
    <row r="272" spans="1:17">
      <c r="A272" s="3">
        <v>271</v>
      </c>
      <c r="B272" s="2" t="s">
        <v>118</v>
      </c>
      <c r="C272" s="2" t="s">
        <v>41</v>
      </c>
      <c r="D272" s="2" t="s">
        <v>119</v>
      </c>
      <c r="E272" s="2" t="s">
        <v>35</v>
      </c>
      <c r="F272" s="4">
        <v>17.5</v>
      </c>
      <c r="G272" s="4">
        <v>3247</v>
      </c>
      <c r="H272" s="2" t="s">
        <v>39</v>
      </c>
      <c r="I272" s="2" t="s">
        <v>23</v>
      </c>
      <c r="J272" s="3">
        <v>210</v>
      </c>
      <c r="K272" s="5">
        <v>1.06</v>
      </c>
      <c r="L272" s="4">
        <v>67</v>
      </c>
      <c r="M272" s="4">
        <v>2780</v>
      </c>
      <c r="N272" s="4">
        <v>30.9</v>
      </c>
      <c r="O272" s="4">
        <v>8.8000000000000007</v>
      </c>
      <c r="P272" s="4">
        <v>1231.7</v>
      </c>
      <c r="Q272" s="5">
        <v>1.3</v>
      </c>
    </row>
    <row r="273" spans="1:17">
      <c r="A273" s="3">
        <v>283</v>
      </c>
      <c r="B273" s="2" t="s">
        <v>141</v>
      </c>
      <c r="C273" s="2" t="s">
        <v>78</v>
      </c>
      <c r="D273" s="2" t="s">
        <v>142</v>
      </c>
      <c r="E273" s="2" t="s">
        <v>35</v>
      </c>
      <c r="F273" s="4">
        <v>30.4</v>
      </c>
      <c r="G273" s="4">
        <v>3357</v>
      </c>
      <c r="H273" s="2" t="s">
        <v>39</v>
      </c>
      <c r="I273" s="2" t="s">
        <v>23</v>
      </c>
      <c r="J273" s="3">
        <v>210</v>
      </c>
      <c r="K273" s="5">
        <v>1.07</v>
      </c>
      <c r="L273" s="4">
        <v>67</v>
      </c>
      <c r="M273" s="4">
        <v>2808.4</v>
      </c>
      <c r="N273" s="4">
        <v>30.6</v>
      </c>
      <c r="O273" s="4">
        <v>11.3</v>
      </c>
      <c r="P273" s="4">
        <v>1232.2</v>
      </c>
      <c r="Q273" s="5">
        <v>1.31</v>
      </c>
    </row>
    <row r="274" spans="1:17">
      <c r="A274" s="3">
        <v>135</v>
      </c>
      <c r="B274" s="2" t="s">
        <v>109</v>
      </c>
      <c r="C274" s="2" t="s">
        <v>19</v>
      </c>
      <c r="D274" s="2" t="s">
        <v>110</v>
      </c>
      <c r="E274" s="2" t="s">
        <v>21</v>
      </c>
      <c r="F274" s="4">
        <v>10.8</v>
      </c>
      <c r="G274" s="4">
        <v>3831</v>
      </c>
      <c r="H274" s="2" t="s">
        <v>36</v>
      </c>
      <c r="I274" s="2" t="s">
        <v>23</v>
      </c>
      <c r="J274" s="3">
        <v>300</v>
      </c>
      <c r="K274" s="5">
        <v>0.98</v>
      </c>
      <c r="L274" s="4">
        <v>67.099999999999994</v>
      </c>
      <c r="M274" s="4">
        <v>2588.3000000000002</v>
      </c>
      <c r="N274" s="4">
        <v>33.200000000000003</v>
      </c>
      <c r="O274" s="4">
        <v>7.7</v>
      </c>
      <c r="P274" s="4">
        <v>1762.8</v>
      </c>
      <c r="Q274" s="5">
        <v>1.73</v>
      </c>
    </row>
    <row r="275" spans="1:17">
      <c r="A275" s="3">
        <v>309</v>
      </c>
      <c r="B275" s="2" t="s">
        <v>222</v>
      </c>
      <c r="C275" s="2" t="s">
        <v>19</v>
      </c>
      <c r="D275" s="2" t="s">
        <v>144</v>
      </c>
      <c r="E275" s="2" t="s">
        <v>35</v>
      </c>
      <c r="F275" s="4">
        <v>45.1</v>
      </c>
      <c r="G275" s="4">
        <v>2850</v>
      </c>
      <c r="H275" s="2" t="s">
        <v>43</v>
      </c>
      <c r="I275" s="2" t="s">
        <v>23</v>
      </c>
      <c r="J275" s="3">
        <v>210</v>
      </c>
      <c r="K275" s="5">
        <v>1.08</v>
      </c>
      <c r="L275" s="4">
        <v>67.3</v>
      </c>
      <c r="M275" s="4">
        <v>2842</v>
      </c>
      <c r="N275" s="4">
        <v>30.3</v>
      </c>
      <c r="O275" s="4">
        <v>8.6999999999999993</v>
      </c>
      <c r="P275" s="4">
        <v>1237.3</v>
      </c>
      <c r="Q275" s="5">
        <v>1.34</v>
      </c>
    </row>
    <row r="276" spans="1:17">
      <c r="A276" s="3">
        <v>299</v>
      </c>
      <c r="B276" s="2" t="s">
        <v>118</v>
      </c>
      <c r="C276" s="2" t="s">
        <v>33</v>
      </c>
      <c r="D276" s="2" t="s">
        <v>119</v>
      </c>
      <c r="E276" s="2" t="s">
        <v>35</v>
      </c>
      <c r="F276" s="4">
        <v>16.7</v>
      </c>
      <c r="G276" s="4">
        <v>3257</v>
      </c>
      <c r="H276" s="2" t="s">
        <v>39</v>
      </c>
      <c r="I276" s="2" t="s">
        <v>23</v>
      </c>
      <c r="J276" s="3">
        <v>210</v>
      </c>
      <c r="K276" s="5">
        <v>1.08</v>
      </c>
      <c r="L276" s="4">
        <v>67.5</v>
      </c>
      <c r="M276" s="4">
        <v>2832.6</v>
      </c>
      <c r="N276" s="4">
        <v>30.4</v>
      </c>
      <c r="O276" s="4">
        <v>9.1</v>
      </c>
      <c r="P276" s="4">
        <v>1242.2</v>
      </c>
      <c r="Q276" s="5">
        <v>1.34</v>
      </c>
    </row>
    <row r="277" spans="1:17">
      <c r="A277" s="3">
        <v>396</v>
      </c>
      <c r="B277" s="2" t="s">
        <v>249</v>
      </c>
      <c r="C277" s="2" t="s">
        <v>24</v>
      </c>
      <c r="D277" s="2" t="s">
        <v>250</v>
      </c>
      <c r="E277" s="2" t="s">
        <v>21</v>
      </c>
      <c r="F277" s="4">
        <v>14.1</v>
      </c>
      <c r="G277" s="4">
        <v>3119.2</v>
      </c>
      <c r="H277" s="2" t="s">
        <v>39</v>
      </c>
      <c r="I277" s="2" t="s">
        <v>238</v>
      </c>
      <c r="J277" s="3">
        <v>135</v>
      </c>
      <c r="K277" s="5">
        <v>1.2</v>
      </c>
      <c r="L277" s="4">
        <v>67.5</v>
      </c>
      <c r="M277" s="4">
        <v>2852.3</v>
      </c>
      <c r="N277" s="4">
        <v>30.1</v>
      </c>
      <c r="O277" s="4">
        <v>10.199999999999999</v>
      </c>
      <c r="P277" s="4">
        <v>797.9</v>
      </c>
      <c r="Q277" s="5">
        <v>0.96</v>
      </c>
    </row>
    <row r="278" spans="1:17">
      <c r="A278" s="3">
        <v>398</v>
      </c>
      <c r="B278" s="2" t="s">
        <v>249</v>
      </c>
      <c r="C278" s="2" t="s">
        <v>19</v>
      </c>
      <c r="D278" s="2" t="s">
        <v>250</v>
      </c>
      <c r="E278" s="2" t="s">
        <v>21</v>
      </c>
      <c r="F278" s="4">
        <v>14.8</v>
      </c>
      <c r="G278" s="4">
        <v>3111.6</v>
      </c>
      <c r="H278" s="2" t="s">
        <v>39</v>
      </c>
      <c r="I278" s="2" t="s">
        <v>238</v>
      </c>
      <c r="J278" s="3">
        <v>135</v>
      </c>
      <c r="K278" s="5">
        <v>1.2</v>
      </c>
      <c r="L278" s="4">
        <v>67.7</v>
      </c>
      <c r="M278" s="4">
        <v>2852.6</v>
      </c>
      <c r="N278" s="4">
        <v>30.1</v>
      </c>
      <c r="O278" s="4">
        <v>10.199999999999999</v>
      </c>
      <c r="P278" s="4">
        <v>800.5</v>
      </c>
      <c r="Q278" s="5">
        <v>0.96</v>
      </c>
    </row>
    <row r="279" spans="1:17">
      <c r="A279" s="3">
        <v>191</v>
      </c>
      <c r="B279" s="2" t="s">
        <v>163</v>
      </c>
      <c r="C279" s="2" t="s">
        <v>41</v>
      </c>
      <c r="D279" s="2" t="s">
        <v>46</v>
      </c>
      <c r="E279" s="2" t="s">
        <v>47</v>
      </c>
      <c r="F279" s="4">
        <v>5.4</v>
      </c>
      <c r="G279" s="4">
        <v>4092.8</v>
      </c>
      <c r="H279" s="2" t="s">
        <v>29</v>
      </c>
      <c r="I279" s="2" t="s">
        <v>23</v>
      </c>
      <c r="J279" s="3">
        <v>250</v>
      </c>
      <c r="K279" s="5">
        <v>1</v>
      </c>
      <c r="L279" s="4">
        <v>67.900000000000006</v>
      </c>
      <c r="M279" s="4">
        <v>2645.1</v>
      </c>
      <c r="N279" s="4">
        <v>32.5</v>
      </c>
      <c r="O279" s="4">
        <v>8.6</v>
      </c>
      <c r="P279" s="4">
        <v>1487.1</v>
      </c>
      <c r="Q279" s="5">
        <v>1.49</v>
      </c>
    </row>
    <row r="280" spans="1:17">
      <c r="A280" s="3">
        <v>250</v>
      </c>
      <c r="B280" s="2" t="s">
        <v>178</v>
      </c>
      <c r="C280" s="2" t="s">
        <v>24</v>
      </c>
      <c r="D280" s="2" t="s">
        <v>144</v>
      </c>
      <c r="E280" s="2" t="s">
        <v>35</v>
      </c>
      <c r="F280" s="4">
        <v>36.700000000000003</v>
      </c>
      <c r="G280" s="4">
        <v>3032</v>
      </c>
      <c r="H280" s="2" t="s">
        <v>39</v>
      </c>
      <c r="I280" s="2" t="s">
        <v>23</v>
      </c>
      <c r="J280" s="3">
        <v>210</v>
      </c>
      <c r="K280" s="5">
        <v>1.04</v>
      </c>
      <c r="L280" s="4">
        <v>67.900000000000006</v>
      </c>
      <c r="M280" s="4">
        <v>2735.1</v>
      </c>
      <c r="N280" s="4">
        <v>31.4</v>
      </c>
      <c r="O280" s="4">
        <v>8.8000000000000007</v>
      </c>
      <c r="P280" s="4">
        <v>1249.8</v>
      </c>
      <c r="Q280" s="5">
        <v>1.3</v>
      </c>
    </row>
    <row r="281" spans="1:17">
      <c r="A281" s="3">
        <v>45</v>
      </c>
      <c r="B281" s="2" t="s">
        <v>84</v>
      </c>
      <c r="C281" s="2" t="s">
        <v>19</v>
      </c>
      <c r="D281" s="2" t="s">
        <v>34</v>
      </c>
      <c r="E281" s="2" t="s">
        <v>35</v>
      </c>
      <c r="F281" s="4">
        <v>14.2</v>
      </c>
      <c r="G281" s="4">
        <v>4006</v>
      </c>
      <c r="H281" s="2" t="s">
        <v>29</v>
      </c>
      <c r="I281" s="2" t="s">
        <v>23</v>
      </c>
      <c r="J281" s="3">
        <v>500</v>
      </c>
      <c r="K281" s="5">
        <v>0.94</v>
      </c>
      <c r="L281" s="4">
        <v>68</v>
      </c>
      <c r="M281" s="4">
        <v>2486.4</v>
      </c>
      <c r="N281" s="4">
        <v>34.6</v>
      </c>
      <c r="O281" s="4">
        <v>5.9</v>
      </c>
      <c r="P281" s="4">
        <v>2979</v>
      </c>
      <c r="Q281" s="5">
        <v>2.81</v>
      </c>
    </row>
    <row r="282" spans="1:17">
      <c r="A282" s="3">
        <v>121</v>
      </c>
      <c r="B282" s="2" t="s">
        <v>94</v>
      </c>
      <c r="C282" s="2" t="s">
        <v>78</v>
      </c>
      <c r="D282" s="2" t="s">
        <v>46</v>
      </c>
      <c r="E282" s="2" t="s">
        <v>47</v>
      </c>
      <c r="F282" s="4">
        <v>14.5</v>
      </c>
      <c r="G282" s="4">
        <v>3779.5</v>
      </c>
      <c r="H282" s="2" t="s">
        <v>36</v>
      </c>
      <c r="I282" s="2" t="s">
        <v>23</v>
      </c>
      <c r="J282" s="3">
        <v>490</v>
      </c>
      <c r="K282" s="5">
        <v>0.98</v>
      </c>
      <c r="L282" s="4">
        <v>68.2</v>
      </c>
      <c r="M282" s="4">
        <v>2596.8000000000002</v>
      </c>
      <c r="N282" s="4">
        <v>33.1</v>
      </c>
      <c r="O282" s="4">
        <v>6.3</v>
      </c>
      <c r="P282" s="4">
        <v>2928.3</v>
      </c>
      <c r="Q282" s="5">
        <v>2.86</v>
      </c>
    </row>
    <row r="283" spans="1:17">
      <c r="A283" s="3">
        <v>264</v>
      </c>
      <c r="B283" s="2" t="s">
        <v>195</v>
      </c>
      <c r="C283" s="2" t="s">
        <v>19</v>
      </c>
      <c r="D283" s="2" t="s">
        <v>196</v>
      </c>
      <c r="E283" s="2" t="s">
        <v>21</v>
      </c>
      <c r="F283" s="4">
        <v>12</v>
      </c>
      <c r="G283" s="4">
        <v>3561</v>
      </c>
      <c r="H283" s="2" t="s">
        <v>36</v>
      </c>
      <c r="I283" s="2" t="s">
        <v>23</v>
      </c>
      <c r="J283" s="3">
        <v>250</v>
      </c>
      <c r="K283" s="5">
        <v>1.05</v>
      </c>
      <c r="L283" s="4">
        <v>68.400000000000006</v>
      </c>
      <c r="M283" s="4">
        <v>2771.3</v>
      </c>
      <c r="N283" s="4">
        <v>31</v>
      </c>
      <c r="O283" s="4">
        <v>8.3000000000000007</v>
      </c>
      <c r="P283" s="4">
        <v>1497</v>
      </c>
      <c r="Q283" s="5">
        <v>1.57</v>
      </c>
    </row>
    <row r="284" spans="1:17">
      <c r="A284" s="3">
        <v>200</v>
      </c>
      <c r="B284" s="2" t="s">
        <v>124</v>
      </c>
      <c r="C284" s="2" t="s">
        <v>19</v>
      </c>
      <c r="D284" s="2" t="s">
        <v>46</v>
      </c>
      <c r="E284" s="2" t="s">
        <v>47</v>
      </c>
      <c r="F284" s="4">
        <v>38.6</v>
      </c>
      <c r="G284" s="4">
        <v>3934.4</v>
      </c>
      <c r="H284" s="2" t="s">
        <v>36</v>
      </c>
      <c r="I284" s="2" t="s">
        <v>23</v>
      </c>
      <c r="J284" s="3">
        <v>200</v>
      </c>
      <c r="K284" s="5">
        <v>1.01</v>
      </c>
      <c r="L284" s="4">
        <v>68.7</v>
      </c>
      <c r="M284" s="4">
        <v>2682.3</v>
      </c>
      <c r="N284" s="4">
        <v>32.1</v>
      </c>
      <c r="O284" s="4">
        <v>9.5</v>
      </c>
      <c r="P284" s="4">
        <v>1203.5</v>
      </c>
      <c r="Q284" s="5">
        <v>1.21</v>
      </c>
    </row>
    <row r="285" spans="1:17">
      <c r="A285" s="3">
        <v>226</v>
      </c>
      <c r="B285" s="2" t="s">
        <v>181</v>
      </c>
      <c r="C285" s="2" t="s">
        <v>33</v>
      </c>
      <c r="D285" s="2" t="s">
        <v>116</v>
      </c>
      <c r="E285" s="2" t="s">
        <v>47</v>
      </c>
      <c r="F285" s="4">
        <v>19.8</v>
      </c>
      <c r="G285" s="4">
        <v>3430.8</v>
      </c>
      <c r="H285" s="2" t="s">
        <v>39</v>
      </c>
      <c r="I285" s="2" t="s">
        <v>23</v>
      </c>
      <c r="J285" s="3">
        <v>210</v>
      </c>
      <c r="K285" s="5">
        <v>1.03</v>
      </c>
      <c r="L285" s="4">
        <v>68.7</v>
      </c>
      <c r="M285" s="4">
        <v>2705.7</v>
      </c>
      <c r="N285" s="4">
        <v>31.8</v>
      </c>
      <c r="O285" s="4">
        <v>11</v>
      </c>
      <c r="P285" s="4">
        <v>1263.3</v>
      </c>
      <c r="Q285" s="5">
        <v>1.3</v>
      </c>
    </row>
    <row r="286" spans="1:17">
      <c r="A286" s="3">
        <v>291</v>
      </c>
      <c r="B286" s="2" t="s">
        <v>123</v>
      </c>
      <c r="C286" s="2" t="s">
        <v>33</v>
      </c>
      <c r="D286" s="2" t="s">
        <v>46</v>
      </c>
      <c r="E286" s="2" t="s">
        <v>47</v>
      </c>
      <c r="F286" s="4">
        <v>24.8</v>
      </c>
      <c r="G286" s="4">
        <v>3703.6</v>
      </c>
      <c r="H286" s="2" t="s">
        <v>36</v>
      </c>
      <c r="I286" s="2" t="s">
        <v>23</v>
      </c>
      <c r="J286" s="3">
        <v>210</v>
      </c>
      <c r="K286" s="5">
        <v>1.07</v>
      </c>
      <c r="L286" s="4">
        <v>68.7</v>
      </c>
      <c r="M286" s="4">
        <v>2818.2</v>
      </c>
      <c r="N286" s="4">
        <v>30.5</v>
      </c>
      <c r="O286" s="4">
        <v>10.1</v>
      </c>
      <c r="P286" s="4">
        <v>1263</v>
      </c>
      <c r="Q286" s="5">
        <v>1.35</v>
      </c>
    </row>
    <row r="287" spans="1:17">
      <c r="A287" s="3">
        <v>25</v>
      </c>
      <c r="B287" s="2" t="s">
        <v>61</v>
      </c>
      <c r="C287" s="2" t="s">
        <v>24</v>
      </c>
      <c r="D287" s="2" t="s">
        <v>62</v>
      </c>
      <c r="E287" s="2" t="s">
        <v>21</v>
      </c>
      <c r="F287" s="4">
        <v>12.7</v>
      </c>
      <c r="G287" s="4">
        <v>3661</v>
      </c>
      <c r="H287" s="2" t="s">
        <v>36</v>
      </c>
      <c r="I287" s="2" t="s">
        <v>23</v>
      </c>
      <c r="J287" s="3">
        <v>600</v>
      </c>
      <c r="K287" s="5">
        <v>0.93</v>
      </c>
      <c r="L287" s="4">
        <v>68.900000000000006</v>
      </c>
      <c r="M287" s="4">
        <v>2454.8000000000002</v>
      </c>
      <c r="N287" s="4">
        <v>35</v>
      </c>
      <c r="O287" s="4">
        <v>5.2</v>
      </c>
      <c r="P287" s="4">
        <v>3622.2</v>
      </c>
      <c r="Q287" s="5">
        <v>3.37</v>
      </c>
    </row>
    <row r="288" spans="1:17">
      <c r="A288" s="3">
        <v>369</v>
      </c>
      <c r="B288" s="2" t="s">
        <v>232</v>
      </c>
      <c r="C288" s="2" t="s">
        <v>33</v>
      </c>
      <c r="D288" s="2" t="s">
        <v>149</v>
      </c>
      <c r="E288" s="2" t="s">
        <v>35</v>
      </c>
      <c r="F288" s="4">
        <v>38.4</v>
      </c>
      <c r="G288" s="4">
        <v>3640</v>
      </c>
      <c r="H288" s="2" t="s">
        <v>36</v>
      </c>
      <c r="I288" s="2" t="s">
        <v>23</v>
      </c>
      <c r="J288" s="3">
        <v>210</v>
      </c>
      <c r="K288" s="5">
        <v>1.1499999999999999</v>
      </c>
      <c r="L288" s="4">
        <v>68.900000000000006</v>
      </c>
      <c r="M288" s="4">
        <v>3034.3</v>
      </c>
      <c r="N288" s="4">
        <v>28.3</v>
      </c>
      <c r="O288" s="4">
        <v>9.6</v>
      </c>
      <c r="P288" s="4">
        <v>1268</v>
      </c>
      <c r="Q288" s="5">
        <v>1.46</v>
      </c>
    </row>
    <row r="289" spans="1:17">
      <c r="A289" s="3">
        <v>168</v>
      </c>
      <c r="B289" s="2" t="s">
        <v>131</v>
      </c>
      <c r="C289" s="2" t="s">
        <v>41</v>
      </c>
      <c r="D289" s="2" t="s">
        <v>20</v>
      </c>
      <c r="E289" s="2" t="s">
        <v>21</v>
      </c>
      <c r="F289" s="4">
        <v>16.5</v>
      </c>
      <c r="G289" s="4">
        <v>2882.4</v>
      </c>
      <c r="H289" s="2" t="s">
        <v>43</v>
      </c>
      <c r="I289" s="2" t="s">
        <v>23</v>
      </c>
      <c r="J289" s="3">
        <v>250</v>
      </c>
      <c r="K289" s="5">
        <v>0.99</v>
      </c>
      <c r="L289" s="4">
        <v>69.2</v>
      </c>
      <c r="M289" s="4">
        <v>2626.2</v>
      </c>
      <c r="N289" s="4">
        <v>32.700000000000003</v>
      </c>
      <c r="O289" s="4">
        <v>10.3</v>
      </c>
      <c r="P289" s="4">
        <v>1515.5</v>
      </c>
      <c r="Q289" s="5">
        <v>1.51</v>
      </c>
    </row>
    <row r="290" spans="1:17">
      <c r="A290" s="3">
        <v>178</v>
      </c>
      <c r="B290" s="2" t="s">
        <v>158</v>
      </c>
      <c r="C290" s="2" t="s">
        <v>24</v>
      </c>
      <c r="D290" s="2" t="s">
        <v>159</v>
      </c>
      <c r="E290" s="2" t="s">
        <v>21</v>
      </c>
      <c r="F290" s="4">
        <v>8.4</v>
      </c>
      <c r="G290" s="4">
        <v>3418</v>
      </c>
      <c r="H290" s="2" t="s">
        <v>39</v>
      </c>
      <c r="I290" s="2" t="s">
        <v>23</v>
      </c>
      <c r="J290" s="3">
        <v>600</v>
      </c>
      <c r="K290" s="5">
        <v>1</v>
      </c>
      <c r="L290" s="4">
        <v>69.3</v>
      </c>
      <c r="M290" s="4">
        <v>2631.2</v>
      </c>
      <c r="N290" s="4">
        <v>32.700000000000003</v>
      </c>
      <c r="O290" s="4">
        <v>6.1</v>
      </c>
      <c r="P290" s="4">
        <v>3641.9</v>
      </c>
      <c r="Q290" s="5">
        <v>3.63</v>
      </c>
    </row>
    <row r="291" spans="1:17">
      <c r="A291" s="3">
        <v>263</v>
      </c>
      <c r="B291" s="2" t="s">
        <v>155</v>
      </c>
      <c r="C291" s="2" t="s">
        <v>45</v>
      </c>
      <c r="D291" s="2" t="s">
        <v>116</v>
      </c>
      <c r="E291" s="2" t="s">
        <v>47</v>
      </c>
      <c r="F291" s="4">
        <v>14.8</v>
      </c>
      <c r="G291" s="4">
        <v>3778.8</v>
      </c>
      <c r="H291" s="2" t="s">
        <v>36</v>
      </c>
      <c r="I291" s="2" t="s">
        <v>23</v>
      </c>
      <c r="J291" s="3">
        <v>250</v>
      </c>
      <c r="K291" s="5">
        <v>1.05</v>
      </c>
      <c r="L291" s="4">
        <v>69.3</v>
      </c>
      <c r="M291" s="4">
        <v>2785.9</v>
      </c>
      <c r="N291" s="4">
        <v>30.9</v>
      </c>
      <c r="O291" s="4">
        <v>10.199999999999999</v>
      </c>
      <c r="P291" s="4">
        <v>1516.6</v>
      </c>
      <c r="Q291" s="5">
        <v>1.6</v>
      </c>
    </row>
    <row r="292" spans="1:17">
      <c r="A292" s="3">
        <v>278</v>
      </c>
      <c r="B292" s="2" t="s">
        <v>123</v>
      </c>
      <c r="C292" s="2" t="s">
        <v>78</v>
      </c>
      <c r="D292" s="2" t="s">
        <v>46</v>
      </c>
      <c r="E292" s="2" t="s">
        <v>47</v>
      </c>
      <c r="F292" s="4">
        <v>17.899999999999999</v>
      </c>
      <c r="G292" s="4">
        <v>3779.7</v>
      </c>
      <c r="H292" s="2" t="s">
        <v>36</v>
      </c>
      <c r="I292" s="2" t="s">
        <v>23</v>
      </c>
      <c r="J292" s="3">
        <v>210</v>
      </c>
      <c r="K292" s="5">
        <v>1.06</v>
      </c>
      <c r="L292" s="4">
        <v>69.3</v>
      </c>
      <c r="M292" s="4">
        <v>2817.3</v>
      </c>
      <c r="N292" s="4">
        <v>30.5</v>
      </c>
      <c r="O292" s="4">
        <v>9.4</v>
      </c>
      <c r="P292" s="4">
        <v>1274.7</v>
      </c>
      <c r="Q292" s="5">
        <v>1.35</v>
      </c>
    </row>
    <row r="293" spans="1:17">
      <c r="A293" s="3">
        <v>312</v>
      </c>
      <c r="B293" s="2" t="s">
        <v>221</v>
      </c>
      <c r="C293" s="2" t="s">
        <v>57</v>
      </c>
      <c r="D293" s="2" t="s">
        <v>114</v>
      </c>
      <c r="E293" s="2" t="s">
        <v>35</v>
      </c>
      <c r="F293" s="4">
        <v>19.5</v>
      </c>
      <c r="G293" s="4">
        <v>3718.8</v>
      </c>
      <c r="H293" s="2" t="s">
        <v>36</v>
      </c>
      <c r="I293" s="2" t="s">
        <v>23</v>
      </c>
      <c r="J293" s="3">
        <v>250</v>
      </c>
      <c r="K293" s="5">
        <v>1.0900000000000001</v>
      </c>
      <c r="L293" s="4">
        <v>69.400000000000006</v>
      </c>
      <c r="M293" s="4">
        <v>2873.3</v>
      </c>
      <c r="N293" s="4">
        <v>29.9</v>
      </c>
      <c r="O293" s="4">
        <v>9.4</v>
      </c>
      <c r="P293" s="4">
        <v>1520.5</v>
      </c>
      <c r="Q293" s="5">
        <v>1.65</v>
      </c>
    </row>
    <row r="294" spans="1:17">
      <c r="A294" s="3">
        <v>306</v>
      </c>
      <c r="B294" s="2" t="s">
        <v>200</v>
      </c>
      <c r="C294" s="2" t="s">
        <v>51</v>
      </c>
      <c r="D294" s="2" t="s">
        <v>119</v>
      </c>
      <c r="E294" s="2" t="s">
        <v>35</v>
      </c>
      <c r="F294" s="4">
        <v>29.4</v>
      </c>
      <c r="G294" s="4">
        <v>2945</v>
      </c>
      <c r="H294" s="2" t="s">
        <v>43</v>
      </c>
      <c r="I294" s="2" t="s">
        <v>23</v>
      </c>
      <c r="J294" s="3">
        <v>210</v>
      </c>
      <c r="K294" s="5">
        <v>1.08</v>
      </c>
      <c r="L294" s="4">
        <v>69.5</v>
      </c>
      <c r="M294" s="4">
        <v>2836.8</v>
      </c>
      <c r="N294" s="4">
        <v>30.3</v>
      </c>
      <c r="O294" s="4">
        <v>10.199999999999999</v>
      </c>
      <c r="P294" s="4">
        <v>1279</v>
      </c>
      <c r="Q294" s="5">
        <v>1.38</v>
      </c>
    </row>
    <row r="295" spans="1:17">
      <c r="A295" s="3">
        <v>342</v>
      </c>
      <c r="B295" s="2" t="s">
        <v>228</v>
      </c>
      <c r="C295" s="2" t="s">
        <v>68</v>
      </c>
      <c r="D295" s="2" t="s">
        <v>52</v>
      </c>
      <c r="E295" s="2" t="s">
        <v>35</v>
      </c>
      <c r="F295" s="4">
        <v>46.6</v>
      </c>
      <c r="G295" s="4">
        <v>3430</v>
      </c>
      <c r="H295" s="2" t="s">
        <v>39</v>
      </c>
      <c r="I295" s="2" t="s">
        <v>23</v>
      </c>
      <c r="J295" s="3">
        <v>200</v>
      </c>
      <c r="K295" s="5">
        <v>1.1100000000000001</v>
      </c>
      <c r="L295" s="4">
        <v>69.5</v>
      </c>
      <c r="M295" s="4">
        <v>2914.7</v>
      </c>
      <c r="N295" s="4">
        <v>29.5</v>
      </c>
      <c r="O295" s="4">
        <v>9</v>
      </c>
      <c r="P295" s="4">
        <v>1218</v>
      </c>
      <c r="Q295" s="5">
        <v>1.35</v>
      </c>
    </row>
    <row r="296" spans="1:17">
      <c r="A296" s="3">
        <v>15</v>
      </c>
      <c r="B296" s="2" t="s">
        <v>48</v>
      </c>
      <c r="C296" s="2" t="s">
        <v>19</v>
      </c>
      <c r="D296" s="2" t="s">
        <v>49</v>
      </c>
      <c r="E296" s="2" t="s">
        <v>21</v>
      </c>
      <c r="F296" s="4">
        <v>26.9</v>
      </c>
      <c r="G296" s="4">
        <v>3761</v>
      </c>
      <c r="H296" s="2" t="s">
        <v>36</v>
      </c>
      <c r="I296" s="2" t="s">
        <v>23</v>
      </c>
      <c r="J296" s="3">
        <v>250</v>
      </c>
      <c r="K296" s="5">
        <v>0.93</v>
      </c>
      <c r="L296" s="4">
        <v>69.599999999999994</v>
      </c>
      <c r="M296" s="4">
        <v>2437.6999999999998</v>
      </c>
      <c r="N296" s="4">
        <v>35.299999999999997</v>
      </c>
      <c r="O296" s="4">
        <v>7.9</v>
      </c>
      <c r="P296" s="4">
        <v>1523.9</v>
      </c>
      <c r="Q296" s="5">
        <v>1.41</v>
      </c>
    </row>
    <row r="297" spans="1:17">
      <c r="A297" s="3">
        <v>348</v>
      </c>
      <c r="B297" s="2" t="s">
        <v>230</v>
      </c>
      <c r="C297" s="2" t="s">
        <v>19</v>
      </c>
      <c r="D297" s="2" t="s">
        <v>231</v>
      </c>
      <c r="E297" s="2" t="s">
        <v>35</v>
      </c>
      <c r="F297" s="4">
        <v>30.2</v>
      </c>
      <c r="G297" s="4">
        <v>2901</v>
      </c>
      <c r="H297" s="2" t="s">
        <v>43</v>
      </c>
      <c r="I297" s="2" t="s">
        <v>23</v>
      </c>
      <c r="J297" s="3">
        <v>210</v>
      </c>
      <c r="K297" s="5">
        <v>1.1299999999999999</v>
      </c>
      <c r="L297" s="4">
        <v>69.599999999999994</v>
      </c>
      <c r="M297" s="4">
        <v>2966.7</v>
      </c>
      <c r="N297" s="4">
        <v>29</v>
      </c>
      <c r="O297" s="4">
        <v>12.5</v>
      </c>
      <c r="P297" s="4">
        <v>1279.5</v>
      </c>
      <c r="Q297" s="5">
        <v>1.44</v>
      </c>
    </row>
    <row r="298" spans="1:17">
      <c r="A298" s="3">
        <v>367</v>
      </c>
      <c r="B298" s="2" t="s">
        <v>239</v>
      </c>
      <c r="C298" s="2" t="s">
        <v>33</v>
      </c>
      <c r="D298" s="2" t="s">
        <v>58</v>
      </c>
      <c r="E298" s="2" t="s">
        <v>35</v>
      </c>
      <c r="F298" s="4">
        <v>12.4</v>
      </c>
      <c r="G298" s="4">
        <v>3538.9</v>
      </c>
      <c r="H298" s="2" t="s">
        <v>36</v>
      </c>
      <c r="I298" s="2" t="s">
        <v>23</v>
      </c>
      <c r="J298" s="3">
        <v>500</v>
      </c>
      <c r="K298" s="5">
        <v>1.1499999999999999</v>
      </c>
      <c r="L298" s="4">
        <v>69.7</v>
      </c>
      <c r="M298" s="4">
        <v>3042.7</v>
      </c>
      <c r="N298" s="4">
        <v>28.3</v>
      </c>
      <c r="O298" s="4">
        <v>6.3</v>
      </c>
      <c r="P298" s="4">
        <v>3053</v>
      </c>
      <c r="Q298" s="5">
        <v>3.51</v>
      </c>
    </row>
    <row r="299" spans="1:17">
      <c r="A299" s="3">
        <v>392</v>
      </c>
      <c r="B299" s="2" t="s">
        <v>249</v>
      </c>
      <c r="C299" s="2" t="s">
        <v>78</v>
      </c>
      <c r="D299" s="2" t="s">
        <v>250</v>
      </c>
      <c r="E299" s="2" t="s">
        <v>21</v>
      </c>
      <c r="F299" s="4">
        <v>11.5</v>
      </c>
      <c r="G299" s="4">
        <v>3115.2</v>
      </c>
      <c r="H299" s="2" t="s">
        <v>39</v>
      </c>
      <c r="I299" s="2" t="s">
        <v>238</v>
      </c>
      <c r="J299" s="3">
        <v>135</v>
      </c>
      <c r="K299" s="5">
        <v>1.2</v>
      </c>
      <c r="L299" s="4">
        <v>69.7</v>
      </c>
      <c r="M299" s="4">
        <v>2850.6</v>
      </c>
      <c r="N299" s="4">
        <v>30.2</v>
      </c>
      <c r="O299" s="4">
        <v>10.199999999999999</v>
      </c>
      <c r="P299" s="4">
        <v>823.9</v>
      </c>
      <c r="Q299" s="5">
        <v>0.99</v>
      </c>
    </row>
    <row r="300" spans="1:17">
      <c r="A300" s="3">
        <v>303</v>
      </c>
      <c r="B300" s="2" t="s">
        <v>213</v>
      </c>
      <c r="C300" s="2" t="s">
        <v>19</v>
      </c>
      <c r="D300" s="2" t="s">
        <v>142</v>
      </c>
      <c r="E300" s="2" t="s">
        <v>35</v>
      </c>
      <c r="F300" s="4">
        <v>14.8</v>
      </c>
      <c r="G300" s="4">
        <v>3671.3</v>
      </c>
      <c r="H300" s="2" t="s">
        <v>36</v>
      </c>
      <c r="I300" s="2" t="s">
        <v>23</v>
      </c>
      <c r="J300" s="3">
        <v>250</v>
      </c>
      <c r="K300" s="5">
        <v>1.08</v>
      </c>
      <c r="L300" s="4">
        <v>69.900000000000006</v>
      </c>
      <c r="M300" s="4">
        <v>2839.1</v>
      </c>
      <c r="N300" s="4">
        <v>30.3</v>
      </c>
      <c r="O300" s="4">
        <v>10.4</v>
      </c>
      <c r="P300" s="4">
        <v>1531.2</v>
      </c>
      <c r="Q300" s="5">
        <v>1.65</v>
      </c>
    </row>
    <row r="301" spans="1:17">
      <c r="A301" s="3">
        <v>219</v>
      </c>
      <c r="B301" s="2" t="s">
        <v>50</v>
      </c>
      <c r="C301" s="2" t="s">
        <v>24</v>
      </c>
      <c r="D301" s="2" t="s">
        <v>52</v>
      </c>
      <c r="E301" s="2" t="s">
        <v>35</v>
      </c>
      <c r="F301" s="4">
        <v>37.6</v>
      </c>
      <c r="G301" s="4">
        <v>3216</v>
      </c>
      <c r="H301" s="2" t="s">
        <v>39</v>
      </c>
      <c r="I301" s="2" t="s">
        <v>23</v>
      </c>
      <c r="J301" s="3">
        <v>210</v>
      </c>
      <c r="K301" s="5">
        <v>1.03</v>
      </c>
      <c r="L301" s="4">
        <v>70</v>
      </c>
      <c r="M301" s="4">
        <v>2699</v>
      </c>
      <c r="N301" s="4">
        <v>31.9</v>
      </c>
      <c r="O301" s="4">
        <v>10.4</v>
      </c>
      <c r="P301" s="4">
        <v>1287.0999999999999</v>
      </c>
      <c r="Q301" s="5">
        <v>1.32</v>
      </c>
    </row>
    <row r="302" spans="1:17">
      <c r="A302" s="3">
        <v>23</v>
      </c>
      <c r="B302" s="2" t="s">
        <v>56</v>
      </c>
      <c r="C302" s="2" t="s">
        <v>57</v>
      </c>
      <c r="D302" s="2" t="s">
        <v>58</v>
      </c>
      <c r="E302" s="2" t="s">
        <v>35</v>
      </c>
      <c r="F302" s="4">
        <v>9.4</v>
      </c>
      <c r="G302" s="4">
        <v>3235.1</v>
      </c>
      <c r="H302" s="2" t="s">
        <v>39</v>
      </c>
      <c r="I302" s="2" t="s">
        <v>23</v>
      </c>
      <c r="J302" s="3">
        <v>500</v>
      </c>
      <c r="K302" s="5">
        <v>0.93</v>
      </c>
      <c r="L302" s="4">
        <v>70.099999999999994</v>
      </c>
      <c r="M302" s="4">
        <v>2474.6999999999998</v>
      </c>
      <c r="N302" s="4">
        <v>34.700000000000003</v>
      </c>
      <c r="O302" s="4">
        <v>5.3</v>
      </c>
      <c r="P302" s="4">
        <v>3072.6</v>
      </c>
      <c r="Q302" s="5">
        <v>2.85</v>
      </c>
    </row>
    <row r="303" spans="1:17">
      <c r="A303" s="3">
        <v>330</v>
      </c>
      <c r="B303" s="2" t="s">
        <v>228</v>
      </c>
      <c r="C303" s="2" t="s">
        <v>71</v>
      </c>
      <c r="D303" s="2" t="s">
        <v>52</v>
      </c>
      <c r="E303" s="2" t="s">
        <v>35</v>
      </c>
      <c r="F303" s="4">
        <v>43.4</v>
      </c>
      <c r="G303" s="4">
        <v>3430</v>
      </c>
      <c r="H303" s="2" t="s">
        <v>39</v>
      </c>
      <c r="I303" s="2" t="s">
        <v>23</v>
      </c>
      <c r="J303" s="3">
        <v>200</v>
      </c>
      <c r="K303" s="5">
        <v>1.1000000000000001</v>
      </c>
      <c r="L303" s="4">
        <v>70.3</v>
      </c>
      <c r="M303" s="4">
        <v>2892.2</v>
      </c>
      <c r="N303" s="4">
        <v>29.7</v>
      </c>
      <c r="O303" s="4">
        <v>9</v>
      </c>
      <c r="P303" s="4">
        <v>1231</v>
      </c>
      <c r="Q303" s="5">
        <v>1.35</v>
      </c>
    </row>
    <row r="304" spans="1:17">
      <c r="A304" s="3">
        <v>48</v>
      </c>
      <c r="B304" s="2" t="s">
        <v>75</v>
      </c>
      <c r="C304" s="2" t="s">
        <v>24</v>
      </c>
      <c r="D304" s="2" t="s">
        <v>76</v>
      </c>
      <c r="E304" s="2" t="s">
        <v>21</v>
      </c>
      <c r="F304" s="4">
        <v>29.4</v>
      </c>
      <c r="G304" s="4">
        <v>3553.6</v>
      </c>
      <c r="H304" s="2" t="s">
        <v>36</v>
      </c>
      <c r="I304" s="2" t="s">
        <v>23</v>
      </c>
      <c r="J304" s="3">
        <v>250</v>
      </c>
      <c r="K304" s="5">
        <v>0.95</v>
      </c>
      <c r="L304" s="4">
        <v>70.400000000000006</v>
      </c>
      <c r="M304" s="4">
        <v>2511</v>
      </c>
      <c r="N304" s="4">
        <v>34.200000000000003</v>
      </c>
      <c r="O304" s="4">
        <v>9.9</v>
      </c>
      <c r="P304" s="4">
        <v>1542.7</v>
      </c>
      <c r="Q304" s="5">
        <v>1.46</v>
      </c>
    </row>
    <row r="305" spans="1:17">
      <c r="A305" s="3">
        <v>399</v>
      </c>
      <c r="B305" s="2" t="s">
        <v>249</v>
      </c>
      <c r="C305" s="2" t="s">
        <v>45</v>
      </c>
      <c r="D305" s="2" t="s">
        <v>250</v>
      </c>
      <c r="E305" s="2" t="s">
        <v>21</v>
      </c>
      <c r="F305" s="4">
        <v>11.4</v>
      </c>
      <c r="G305" s="4">
        <v>3126.5</v>
      </c>
      <c r="H305" s="2" t="s">
        <v>39</v>
      </c>
      <c r="I305" s="2" t="s">
        <v>238</v>
      </c>
      <c r="J305" s="3">
        <v>135</v>
      </c>
      <c r="K305" s="5">
        <v>1.2</v>
      </c>
      <c r="L305" s="4">
        <v>70.5</v>
      </c>
      <c r="M305" s="4">
        <v>2853</v>
      </c>
      <c r="N305" s="4">
        <v>30.1</v>
      </c>
      <c r="O305" s="4">
        <v>10.199999999999999</v>
      </c>
      <c r="P305" s="4">
        <v>834.1</v>
      </c>
      <c r="Q305" s="5">
        <v>1</v>
      </c>
    </row>
    <row r="306" spans="1:17">
      <c r="A306" s="3">
        <v>51</v>
      </c>
      <c r="B306" s="2" t="s">
        <v>86</v>
      </c>
      <c r="C306" s="2" t="s">
        <v>19</v>
      </c>
      <c r="D306" s="2" t="s">
        <v>87</v>
      </c>
      <c r="E306" s="2" t="s">
        <v>21</v>
      </c>
      <c r="F306" s="4">
        <v>7.3</v>
      </c>
      <c r="G306" s="4">
        <v>3117.9</v>
      </c>
      <c r="H306" s="2" t="s">
        <v>39</v>
      </c>
      <c r="I306" s="2" t="s">
        <v>23</v>
      </c>
      <c r="J306" s="3">
        <v>600</v>
      </c>
      <c r="K306" s="5">
        <v>0.95</v>
      </c>
      <c r="L306" s="4">
        <v>70.599999999999994</v>
      </c>
      <c r="M306" s="4">
        <v>2495.9</v>
      </c>
      <c r="N306" s="4">
        <v>34.4</v>
      </c>
      <c r="O306" s="4">
        <v>6.5</v>
      </c>
      <c r="P306" s="4">
        <v>3710.3</v>
      </c>
      <c r="Q306" s="5">
        <v>3.51</v>
      </c>
    </row>
    <row r="307" spans="1:17">
      <c r="A307" s="3">
        <v>325</v>
      </c>
      <c r="B307" s="2" t="s">
        <v>227</v>
      </c>
      <c r="C307" s="2" t="s">
        <v>78</v>
      </c>
      <c r="D307" s="2" t="s">
        <v>126</v>
      </c>
      <c r="E307" s="2" t="s">
        <v>35</v>
      </c>
      <c r="F307" s="4">
        <v>16.100000000000001</v>
      </c>
      <c r="G307" s="4">
        <v>4189</v>
      </c>
      <c r="H307" s="2" t="s">
        <v>29</v>
      </c>
      <c r="I307" s="2" t="s">
        <v>23</v>
      </c>
      <c r="J307" s="3">
        <v>210</v>
      </c>
      <c r="K307" s="5">
        <v>1.1000000000000001</v>
      </c>
      <c r="L307" s="4">
        <v>70.599999999999994</v>
      </c>
      <c r="M307" s="4">
        <v>2891.8</v>
      </c>
      <c r="N307" s="4">
        <v>29.7</v>
      </c>
      <c r="O307" s="4">
        <v>9.4</v>
      </c>
      <c r="P307" s="4">
        <v>1299.0999999999999</v>
      </c>
      <c r="Q307" s="5">
        <v>1.43</v>
      </c>
    </row>
    <row r="308" spans="1:17">
      <c r="A308" s="3">
        <v>197</v>
      </c>
      <c r="B308" s="2" t="s">
        <v>100</v>
      </c>
      <c r="C308" s="2" t="s">
        <v>24</v>
      </c>
      <c r="D308" s="2" t="s">
        <v>101</v>
      </c>
      <c r="E308" s="2" t="s">
        <v>21</v>
      </c>
      <c r="F308" s="4">
        <v>14.1</v>
      </c>
      <c r="G308" s="4">
        <v>3835</v>
      </c>
      <c r="H308" s="2" t="s">
        <v>36</v>
      </c>
      <c r="I308" s="2" t="s">
        <v>23</v>
      </c>
      <c r="J308" s="3">
        <v>300</v>
      </c>
      <c r="K308" s="5">
        <v>1.01</v>
      </c>
      <c r="L308" s="4">
        <v>70.7</v>
      </c>
      <c r="M308" s="4">
        <v>2654.5</v>
      </c>
      <c r="N308" s="4">
        <v>32.4</v>
      </c>
      <c r="O308" s="4">
        <v>8.3000000000000007</v>
      </c>
      <c r="P308" s="4">
        <v>1856.8</v>
      </c>
      <c r="Q308" s="5">
        <v>1.87</v>
      </c>
    </row>
    <row r="309" spans="1:17">
      <c r="A309" s="3">
        <v>90</v>
      </c>
      <c r="B309" s="2" t="s">
        <v>32</v>
      </c>
      <c r="C309" s="2" t="s">
        <v>24</v>
      </c>
      <c r="D309" s="2" t="s">
        <v>34</v>
      </c>
      <c r="E309" s="2" t="s">
        <v>35</v>
      </c>
      <c r="F309" s="4">
        <v>27.4</v>
      </c>
      <c r="G309" s="4">
        <v>2893</v>
      </c>
      <c r="H309" s="2" t="s">
        <v>43</v>
      </c>
      <c r="I309" s="2" t="s">
        <v>23</v>
      </c>
      <c r="J309" s="3">
        <v>250</v>
      </c>
      <c r="K309" s="5">
        <v>0.96</v>
      </c>
      <c r="L309" s="4">
        <v>70.8</v>
      </c>
      <c r="M309" s="4">
        <v>2535.1999999999998</v>
      </c>
      <c r="N309" s="4">
        <v>33.9</v>
      </c>
      <c r="O309" s="4">
        <v>10</v>
      </c>
      <c r="P309" s="4">
        <v>1549.7</v>
      </c>
      <c r="Q309" s="5">
        <v>1.49</v>
      </c>
    </row>
    <row r="310" spans="1:17">
      <c r="A310" s="3">
        <v>397</v>
      </c>
      <c r="B310" s="2" t="s">
        <v>249</v>
      </c>
      <c r="C310" s="2" t="s">
        <v>57</v>
      </c>
      <c r="D310" s="2" t="s">
        <v>250</v>
      </c>
      <c r="E310" s="2" t="s">
        <v>21</v>
      </c>
      <c r="F310" s="4">
        <v>11.4</v>
      </c>
      <c r="G310" s="4">
        <v>3111.8</v>
      </c>
      <c r="H310" s="2" t="s">
        <v>39</v>
      </c>
      <c r="I310" s="2" t="s">
        <v>238</v>
      </c>
      <c r="J310" s="3">
        <v>135</v>
      </c>
      <c r="K310" s="5">
        <v>1.2</v>
      </c>
      <c r="L310" s="4">
        <v>71.2</v>
      </c>
      <c r="M310" s="4">
        <v>2852.4</v>
      </c>
      <c r="N310" s="4">
        <v>30.1</v>
      </c>
      <c r="O310" s="4">
        <v>10.199999999999999</v>
      </c>
      <c r="P310" s="4">
        <v>841.8</v>
      </c>
      <c r="Q310" s="5">
        <v>1.01</v>
      </c>
    </row>
    <row r="311" spans="1:17">
      <c r="A311" s="3">
        <v>43</v>
      </c>
      <c r="B311" s="2" t="s">
        <v>53</v>
      </c>
      <c r="C311" s="2" t="s">
        <v>51</v>
      </c>
      <c r="D311" s="2" t="s">
        <v>46</v>
      </c>
      <c r="E311" s="2" t="s">
        <v>47</v>
      </c>
      <c r="F311" s="4">
        <v>34.799999999999997</v>
      </c>
      <c r="G311" s="4">
        <v>3497.5</v>
      </c>
      <c r="H311" s="2" t="s">
        <v>39</v>
      </c>
      <c r="I311" s="2" t="s">
        <v>23</v>
      </c>
      <c r="J311" s="3">
        <v>500</v>
      </c>
      <c r="K311" s="5">
        <v>0.94</v>
      </c>
      <c r="L311" s="4">
        <v>71.3</v>
      </c>
      <c r="M311" s="4">
        <v>2499.5</v>
      </c>
      <c r="N311" s="4">
        <v>34.4</v>
      </c>
      <c r="O311" s="4">
        <v>6.6</v>
      </c>
      <c r="P311" s="4">
        <v>3121.7</v>
      </c>
      <c r="Q311" s="5">
        <v>2.95</v>
      </c>
    </row>
    <row r="312" spans="1:17">
      <c r="A312" s="3">
        <v>426</v>
      </c>
      <c r="B312" s="2" t="s">
        <v>265</v>
      </c>
      <c r="C312" s="2" t="s">
        <v>24</v>
      </c>
      <c r="D312" s="2" t="s">
        <v>247</v>
      </c>
      <c r="E312" s="2" t="s">
        <v>47</v>
      </c>
      <c r="F312" s="4">
        <v>21</v>
      </c>
      <c r="G312" s="4">
        <v>2653</v>
      </c>
      <c r="H312" s="2" t="s">
        <v>43</v>
      </c>
      <c r="I312" s="2" t="s">
        <v>238</v>
      </c>
      <c r="J312" s="3">
        <v>210</v>
      </c>
      <c r="K312" s="5">
        <v>1.25</v>
      </c>
      <c r="L312" s="4">
        <v>71.3</v>
      </c>
      <c r="M312" s="4">
        <v>2975.9</v>
      </c>
      <c r="N312" s="4">
        <v>28.9</v>
      </c>
      <c r="O312" s="4">
        <v>9</v>
      </c>
      <c r="P312" s="4">
        <v>1310.9</v>
      </c>
      <c r="Q312" s="5">
        <v>1.64</v>
      </c>
    </row>
    <row r="313" spans="1:17">
      <c r="A313" s="3">
        <v>44</v>
      </c>
      <c r="B313" s="2" t="s">
        <v>82</v>
      </c>
      <c r="C313" s="2" t="s">
        <v>24</v>
      </c>
      <c r="D313" s="2" t="s">
        <v>83</v>
      </c>
      <c r="E313" s="2" t="s">
        <v>21</v>
      </c>
      <c r="F313" s="4">
        <v>11.1</v>
      </c>
      <c r="G313" s="4">
        <v>3232.2</v>
      </c>
      <c r="H313" s="2" t="s">
        <v>39</v>
      </c>
      <c r="I313" s="2" t="s">
        <v>23</v>
      </c>
      <c r="J313" s="3">
        <v>350</v>
      </c>
      <c r="K313" s="5">
        <v>0.94</v>
      </c>
      <c r="L313" s="4">
        <v>71.400000000000006</v>
      </c>
      <c r="M313" s="4">
        <v>2493.1</v>
      </c>
      <c r="N313" s="4">
        <v>34.5</v>
      </c>
      <c r="O313" s="4">
        <v>6.7</v>
      </c>
      <c r="P313" s="4">
        <v>2187.6999999999998</v>
      </c>
      <c r="Q313" s="5">
        <v>2.06</v>
      </c>
    </row>
    <row r="314" spans="1:17">
      <c r="A314" s="3">
        <v>96</v>
      </c>
      <c r="B314" s="2" t="s">
        <v>113</v>
      </c>
      <c r="C314" s="2" t="s">
        <v>24</v>
      </c>
      <c r="D314" s="2" t="s">
        <v>114</v>
      </c>
      <c r="E314" s="2" t="s">
        <v>35</v>
      </c>
      <c r="F314" s="4">
        <v>16.7</v>
      </c>
      <c r="G314" s="4">
        <v>3377.4</v>
      </c>
      <c r="H314" s="2" t="s">
        <v>39</v>
      </c>
      <c r="I314" s="2" t="s">
        <v>23</v>
      </c>
      <c r="J314" s="3">
        <v>300</v>
      </c>
      <c r="K314" s="5">
        <v>0.97</v>
      </c>
      <c r="L314" s="4">
        <v>71.400000000000006</v>
      </c>
      <c r="M314" s="4">
        <v>2543.8000000000002</v>
      </c>
      <c r="N314" s="4">
        <v>33.799999999999997</v>
      </c>
      <c r="O314" s="4">
        <v>8.5</v>
      </c>
      <c r="P314" s="4">
        <v>1875.7</v>
      </c>
      <c r="Q314" s="5">
        <v>1.81</v>
      </c>
    </row>
    <row r="315" spans="1:17">
      <c r="A315" s="3">
        <v>53</v>
      </c>
      <c r="B315" s="2" t="s">
        <v>82</v>
      </c>
      <c r="C315" s="2" t="s">
        <v>19</v>
      </c>
      <c r="D315" s="2" t="s">
        <v>83</v>
      </c>
      <c r="E315" s="2" t="s">
        <v>21</v>
      </c>
      <c r="F315" s="4">
        <v>11.5</v>
      </c>
      <c r="G315" s="4">
        <v>3197</v>
      </c>
      <c r="H315" s="2" t="s">
        <v>39</v>
      </c>
      <c r="I315" s="2" t="s">
        <v>23</v>
      </c>
      <c r="J315" s="3">
        <v>350</v>
      </c>
      <c r="K315" s="5">
        <v>0.95</v>
      </c>
      <c r="L315" s="4">
        <v>71.5</v>
      </c>
      <c r="M315" s="4">
        <v>2501.8000000000002</v>
      </c>
      <c r="N315" s="4">
        <v>34.4</v>
      </c>
      <c r="O315" s="4">
        <v>6.9</v>
      </c>
      <c r="P315" s="4">
        <v>2191.5</v>
      </c>
      <c r="Q315" s="5">
        <v>2.08</v>
      </c>
    </row>
    <row r="316" spans="1:17">
      <c r="A316" s="3">
        <v>169</v>
      </c>
      <c r="B316" s="2" t="s">
        <v>124</v>
      </c>
      <c r="C316" s="2" t="s">
        <v>33</v>
      </c>
      <c r="D316" s="2" t="s">
        <v>46</v>
      </c>
      <c r="E316" s="2" t="s">
        <v>47</v>
      </c>
      <c r="F316" s="4">
        <v>31.9</v>
      </c>
      <c r="G316" s="4">
        <v>3939</v>
      </c>
      <c r="H316" s="2" t="s">
        <v>36</v>
      </c>
      <c r="I316" s="2" t="s">
        <v>23</v>
      </c>
      <c r="J316" s="3">
        <v>500</v>
      </c>
      <c r="K316" s="5">
        <v>0.99</v>
      </c>
      <c r="L316" s="4">
        <v>71.8</v>
      </c>
      <c r="M316" s="4">
        <v>2628.1</v>
      </c>
      <c r="N316" s="4">
        <v>32.700000000000003</v>
      </c>
      <c r="O316" s="4">
        <v>6.7</v>
      </c>
      <c r="P316" s="4">
        <v>3144</v>
      </c>
      <c r="Q316" s="5">
        <v>3.13</v>
      </c>
    </row>
    <row r="317" spans="1:17">
      <c r="A317" s="3">
        <v>393</v>
      </c>
      <c r="B317" s="2" t="s">
        <v>249</v>
      </c>
      <c r="C317" s="2" t="s">
        <v>33</v>
      </c>
      <c r="D317" s="2" t="s">
        <v>250</v>
      </c>
      <c r="E317" s="2" t="s">
        <v>21</v>
      </c>
      <c r="F317" s="4">
        <v>12.7</v>
      </c>
      <c r="G317" s="4">
        <v>3127.8</v>
      </c>
      <c r="H317" s="2" t="s">
        <v>39</v>
      </c>
      <c r="I317" s="2" t="s">
        <v>238</v>
      </c>
      <c r="J317" s="3">
        <v>135</v>
      </c>
      <c r="K317" s="5">
        <v>1.2</v>
      </c>
      <c r="L317" s="4">
        <v>71.900000000000006</v>
      </c>
      <c r="M317" s="4">
        <v>2850.9</v>
      </c>
      <c r="N317" s="4">
        <v>30.2</v>
      </c>
      <c r="O317" s="4">
        <v>10.199999999999999</v>
      </c>
      <c r="P317" s="4">
        <v>850.7</v>
      </c>
      <c r="Q317" s="5">
        <v>1.02</v>
      </c>
    </row>
    <row r="318" spans="1:17">
      <c r="A318" s="3">
        <v>277</v>
      </c>
      <c r="B318" s="2" t="s">
        <v>124</v>
      </c>
      <c r="C318" s="2" t="s">
        <v>41</v>
      </c>
      <c r="D318" s="2" t="s">
        <v>46</v>
      </c>
      <c r="E318" s="2" t="s">
        <v>47</v>
      </c>
      <c r="F318" s="4">
        <v>37</v>
      </c>
      <c r="G318" s="4">
        <v>3954.9</v>
      </c>
      <c r="H318" s="2" t="s">
        <v>36</v>
      </c>
      <c r="I318" s="2" t="s">
        <v>23</v>
      </c>
      <c r="J318" s="3">
        <v>200</v>
      </c>
      <c r="K318" s="5">
        <v>1.06</v>
      </c>
      <c r="L318" s="4">
        <v>72</v>
      </c>
      <c r="M318" s="4">
        <v>2816.9</v>
      </c>
      <c r="N318" s="4">
        <v>30.5</v>
      </c>
      <c r="O318" s="4">
        <v>9.9</v>
      </c>
      <c r="P318" s="4">
        <v>1261</v>
      </c>
      <c r="Q318" s="5">
        <v>1.34</v>
      </c>
    </row>
    <row r="319" spans="1:17">
      <c r="A319" s="3">
        <v>61</v>
      </c>
      <c r="B319" s="2" t="s">
        <v>82</v>
      </c>
      <c r="C319" s="2" t="s">
        <v>41</v>
      </c>
      <c r="D319" s="2" t="s">
        <v>83</v>
      </c>
      <c r="E319" s="2" t="s">
        <v>21</v>
      </c>
      <c r="F319" s="4">
        <v>10.4</v>
      </c>
      <c r="G319" s="4">
        <v>3223.6</v>
      </c>
      <c r="H319" s="2" t="s">
        <v>39</v>
      </c>
      <c r="I319" s="2" t="s">
        <v>23</v>
      </c>
      <c r="J319" s="3">
        <v>350</v>
      </c>
      <c r="K319" s="5">
        <v>0.95</v>
      </c>
      <c r="L319" s="4">
        <v>72.2</v>
      </c>
      <c r="M319" s="4">
        <v>2508.6999999999998</v>
      </c>
      <c r="N319" s="4">
        <v>34.299999999999997</v>
      </c>
      <c r="O319" s="4">
        <v>7.1</v>
      </c>
      <c r="P319" s="4">
        <v>2212.6999999999998</v>
      </c>
      <c r="Q319" s="5">
        <v>2.1</v>
      </c>
    </row>
    <row r="320" spans="1:17">
      <c r="A320" s="3">
        <v>98</v>
      </c>
      <c r="B320" s="2" t="s">
        <v>117</v>
      </c>
      <c r="C320" s="2" t="s">
        <v>19</v>
      </c>
      <c r="D320" s="2" t="s">
        <v>116</v>
      </c>
      <c r="E320" s="2" t="s">
        <v>47</v>
      </c>
      <c r="F320" s="4">
        <v>13</v>
      </c>
      <c r="G320" s="4">
        <v>3753</v>
      </c>
      <c r="H320" s="2" t="s">
        <v>36</v>
      </c>
      <c r="I320" s="2" t="s">
        <v>23</v>
      </c>
      <c r="J320" s="3">
        <v>500</v>
      </c>
      <c r="K320" s="5">
        <v>0.97</v>
      </c>
      <c r="L320" s="4">
        <v>72.2</v>
      </c>
      <c r="M320" s="4">
        <v>2564.9</v>
      </c>
      <c r="N320" s="4">
        <v>33.5</v>
      </c>
      <c r="O320" s="4">
        <v>5.3</v>
      </c>
      <c r="P320" s="4">
        <v>3164.1</v>
      </c>
      <c r="Q320" s="5">
        <v>3.06</v>
      </c>
    </row>
    <row r="321" spans="1:17">
      <c r="A321" s="3">
        <v>119</v>
      </c>
      <c r="B321" s="2" t="s">
        <v>53</v>
      </c>
      <c r="C321" s="2" t="s">
        <v>41</v>
      </c>
      <c r="D321" s="2" t="s">
        <v>46</v>
      </c>
      <c r="E321" s="2" t="s">
        <v>47</v>
      </c>
      <c r="F321" s="4">
        <v>39.6</v>
      </c>
      <c r="G321" s="4">
        <v>3502.9</v>
      </c>
      <c r="H321" s="2" t="s">
        <v>36</v>
      </c>
      <c r="I321" s="2" t="s">
        <v>23</v>
      </c>
      <c r="J321" s="3">
        <v>200</v>
      </c>
      <c r="K321" s="5">
        <v>0.97</v>
      </c>
      <c r="L321" s="4">
        <v>72.2</v>
      </c>
      <c r="M321" s="4">
        <v>2564.9</v>
      </c>
      <c r="N321" s="4">
        <v>33.5</v>
      </c>
      <c r="O321" s="4">
        <v>10.8</v>
      </c>
      <c r="P321" s="4">
        <v>1265.4000000000001</v>
      </c>
      <c r="Q321" s="5">
        <v>1.23</v>
      </c>
    </row>
    <row r="322" spans="1:17">
      <c r="A322" s="3">
        <v>138</v>
      </c>
      <c r="B322" s="2" t="s">
        <v>134</v>
      </c>
      <c r="C322" s="2" t="s">
        <v>57</v>
      </c>
      <c r="D322" s="2" t="s">
        <v>135</v>
      </c>
      <c r="E322" s="2" t="s">
        <v>35</v>
      </c>
      <c r="F322" s="4">
        <v>6.6</v>
      </c>
      <c r="G322" s="4">
        <v>3489</v>
      </c>
      <c r="H322" s="2" t="s">
        <v>39</v>
      </c>
      <c r="I322" s="2" t="s">
        <v>23</v>
      </c>
      <c r="J322" s="3">
        <v>250</v>
      </c>
      <c r="K322" s="5">
        <v>0.98</v>
      </c>
      <c r="L322" s="4">
        <v>72.2</v>
      </c>
      <c r="M322" s="4">
        <v>2585.9</v>
      </c>
      <c r="N322" s="4">
        <v>33.299999999999997</v>
      </c>
      <c r="O322" s="4">
        <v>9.1</v>
      </c>
      <c r="P322" s="4">
        <v>1581.1</v>
      </c>
      <c r="Q322" s="5">
        <v>1.56</v>
      </c>
    </row>
    <row r="323" spans="1:17">
      <c r="A323" s="3">
        <v>155</v>
      </c>
      <c r="B323" s="2" t="s">
        <v>148</v>
      </c>
      <c r="C323" s="2" t="s">
        <v>45</v>
      </c>
      <c r="D323" s="2" t="s">
        <v>149</v>
      </c>
      <c r="E323" s="2" t="s">
        <v>35</v>
      </c>
      <c r="F323" s="4">
        <v>17.399999999999999</v>
      </c>
      <c r="G323" s="4">
        <v>3379</v>
      </c>
      <c r="H323" s="2" t="s">
        <v>39</v>
      </c>
      <c r="I323" s="2" t="s">
        <v>23</v>
      </c>
      <c r="J323" s="3">
        <v>250</v>
      </c>
      <c r="K323" s="5">
        <v>0.99</v>
      </c>
      <c r="L323" s="4">
        <v>72.2</v>
      </c>
      <c r="M323" s="4">
        <v>2599.9</v>
      </c>
      <c r="N323" s="4">
        <v>33.1</v>
      </c>
      <c r="O323" s="4">
        <v>8.1999999999999993</v>
      </c>
      <c r="P323" s="4">
        <v>1580.3</v>
      </c>
      <c r="Q323" s="5">
        <v>1.56</v>
      </c>
    </row>
    <row r="324" spans="1:17">
      <c r="A324" s="3">
        <v>72</v>
      </c>
      <c r="B324" s="2" t="s">
        <v>88</v>
      </c>
      <c r="C324" s="2" t="s">
        <v>19</v>
      </c>
      <c r="D324" s="2" t="s">
        <v>89</v>
      </c>
      <c r="E324" s="2" t="s">
        <v>21</v>
      </c>
      <c r="F324" s="4">
        <v>10.5</v>
      </c>
      <c r="G324" s="4">
        <v>3339</v>
      </c>
      <c r="H324" s="2" t="s">
        <v>39</v>
      </c>
      <c r="I324" s="2" t="s">
        <v>23</v>
      </c>
      <c r="J324" s="3">
        <v>600</v>
      </c>
      <c r="K324" s="5">
        <v>0.96</v>
      </c>
      <c r="L324" s="4">
        <v>72.599999999999994</v>
      </c>
      <c r="M324" s="4">
        <v>2521.3000000000002</v>
      </c>
      <c r="N324" s="4">
        <v>34.1</v>
      </c>
      <c r="O324" s="4">
        <v>5.7</v>
      </c>
      <c r="P324" s="4">
        <v>3818</v>
      </c>
      <c r="Q324" s="5">
        <v>3.65</v>
      </c>
    </row>
    <row r="325" spans="1:17">
      <c r="A325" s="3">
        <v>105</v>
      </c>
      <c r="B325" s="2" t="s">
        <v>121</v>
      </c>
      <c r="C325" s="2" t="s">
        <v>19</v>
      </c>
      <c r="D325" s="2" t="s">
        <v>122</v>
      </c>
      <c r="E325" s="2" t="s">
        <v>21</v>
      </c>
      <c r="F325" s="4">
        <v>11.7</v>
      </c>
      <c r="G325" s="4">
        <v>3478</v>
      </c>
      <c r="H325" s="2" t="s">
        <v>39</v>
      </c>
      <c r="I325" s="2" t="s">
        <v>23</v>
      </c>
      <c r="J325" s="3">
        <v>270</v>
      </c>
      <c r="K325" s="5">
        <v>0.97</v>
      </c>
      <c r="L325" s="4">
        <v>72.599999999999994</v>
      </c>
      <c r="M325" s="4">
        <v>2553.6999999999998</v>
      </c>
      <c r="N325" s="4">
        <v>33.700000000000003</v>
      </c>
      <c r="O325" s="4">
        <v>8.5</v>
      </c>
      <c r="P325" s="4">
        <v>1717.5</v>
      </c>
      <c r="Q325" s="5">
        <v>1.66</v>
      </c>
    </row>
    <row r="326" spans="1:17">
      <c r="A326" s="3">
        <v>76</v>
      </c>
      <c r="B326" s="2" t="s">
        <v>95</v>
      </c>
      <c r="C326" s="2" t="s">
        <v>41</v>
      </c>
      <c r="D326" s="2" t="s">
        <v>46</v>
      </c>
      <c r="E326" s="2" t="s">
        <v>47</v>
      </c>
      <c r="F326" s="4">
        <v>13.4</v>
      </c>
      <c r="G326" s="4">
        <v>3101.8</v>
      </c>
      <c r="H326" s="2" t="s">
        <v>39</v>
      </c>
      <c r="I326" s="2" t="s">
        <v>23</v>
      </c>
      <c r="J326" s="3">
        <v>500</v>
      </c>
      <c r="K326" s="5">
        <v>0.96</v>
      </c>
      <c r="L326" s="4">
        <v>72.7</v>
      </c>
      <c r="M326" s="4">
        <v>2543</v>
      </c>
      <c r="N326" s="4">
        <v>33.799999999999997</v>
      </c>
      <c r="O326" s="4">
        <v>5.7</v>
      </c>
      <c r="P326" s="4">
        <v>3186.4</v>
      </c>
      <c r="Q326" s="5">
        <v>3.05</v>
      </c>
    </row>
    <row r="327" spans="1:17">
      <c r="A327" s="3">
        <v>394</v>
      </c>
      <c r="B327" s="2" t="s">
        <v>249</v>
      </c>
      <c r="C327" s="2" t="s">
        <v>51</v>
      </c>
      <c r="D327" s="2" t="s">
        <v>250</v>
      </c>
      <c r="E327" s="2" t="s">
        <v>21</v>
      </c>
      <c r="F327" s="4">
        <v>11.4</v>
      </c>
      <c r="G327" s="4">
        <v>3121.3</v>
      </c>
      <c r="H327" s="2" t="s">
        <v>39</v>
      </c>
      <c r="I327" s="2" t="s">
        <v>238</v>
      </c>
      <c r="J327" s="3">
        <v>135</v>
      </c>
      <c r="K327" s="5">
        <v>1.2</v>
      </c>
      <c r="L327" s="4">
        <v>72.7</v>
      </c>
      <c r="M327" s="4">
        <v>2851.4</v>
      </c>
      <c r="N327" s="4">
        <v>30.2</v>
      </c>
      <c r="O327" s="4">
        <v>10.199999999999999</v>
      </c>
      <c r="P327" s="4">
        <v>859.5</v>
      </c>
      <c r="Q327" s="5">
        <v>1.03</v>
      </c>
    </row>
    <row r="328" spans="1:17">
      <c r="A328" s="3">
        <v>346</v>
      </c>
      <c r="B328" s="2" t="s">
        <v>232</v>
      </c>
      <c r="C328" s="2" t="s">
        <v>19</v>
      </c>
      <c r="D328" s="2" t="s">
        <v>149</v>
      </c>
      <c r="E328" s="2" t="s">
        <v>35</v>
      </c>
      <c r="F328" s="4">
        <v>41.1</v>
      </c>
      <c r="G328" s="4">
        <v>3640</v>
      </c>
      <c r="H328" s="2" t="s">
        <v>36</v>
      </c>
      <c r="I328" s="2" t="s">
        <v>23</v>
      </c>
      <c r="J328" s="3">
        <v>210</v>
      </c>
      <c r="K328" s="5">
        <v>1.1200000000000001</v>
      </c>
      <c r="L328" s="4">
        <v>73</v>
      </c>
      <c r="M328" s="4">
        <v>2940.2</v>
      </c>
      <c r="N328" s="4">
        <v>29.2</v>
      </c>
      <c r="O328" s="4">
        <v>8.8000000000000007</v>
      </c>
      <c r="P328" s="4">
        <v>1342</v>
      </c>
      <c r="Q328" s="5">
        <v>1.5</v>
      </c>
    </row>
    <row r="329" spans="1:17">
      <c r="A329" s="3">
        <v>266</v>
      </c>
      <c r="B329" s="2" t="s">
        <v>141</v>
      </c>
      <c r="C329" s="2" t="s">
        <v>33</v>
      </c>
      <c r="D329" s="2" t="s">
        <v>142</v>
      </c>
      <c r="E329" s="2" t="s">
        <v>35</v>
      </c>
      <c r="F329" s="4">
        <v>35.299999999999997</v>
      </c>
      <c r="G329" s="4">
        <v>3360</v>
      </c>
      <c r="H329" s="2" t="s">
        <v>39</v>
      </c>
      <c r="I329" s="2" t="s">
        <v>23</v>
      </c>
      <c r="J329" s="3">
        <v>210</v>
      </c>
      <c r="K329" s="5">
        <v>1.05</v>
      </c>
      <c r="L329" s="4">
        <v>73.099999999999994</v>
      </c>
      <c r="M329" s="4">
        <v>2774.8</v>
      </c>
      <c r="N329" s="4">
        <v>31</v>
      </c>
      <c r="O329" s="4">
        <v>11.3</v>
      </c>
      <c r="P329" s="4">
        <v>1344.5</v>
      </c>
      <c r="Q329" s="5">
        <v>1.42</v>
      </c>
    </row>
    <row r="330" spans="1:17">
      <c r="A330" s="3">
        <v>289</v>
      </c>
      <c r="B330" s="2" t="s">
        <v>213</v>
      </c>
      <c r="C330" s="2" t="s">
        <v>41</v>
      </c>
      <c r="D330" s="2" t="s">
        <v>142</v>
      </c>
      <c r="E330" s="2" t="s">
        <v>35</v>
      </c>
      <c r="F330" s="4">
        <v>10.9</v>
      </c>
      <c r="G330" s="4">
        <v>3768.1</v>
      </c>
      <c r="H330" s="2" t="s">
        <v>36</v>
      </c>
      <c r="I330" s="2" t="s">
        <v>23</v>
      </c>
      <c r="J330" s="3">
        <v>250</v>
      </c>
      <c r="K330" s="5">
        <v>1.07</v>
      </c>
      <c r="L330" s="4">
        <v>73.099999999999994</v>
      </c>
      <c r="M330" s="4">
        <v>2818.6</v>
      </c>
      <c r="N330" s="4">
        <v>30.5</v>
      </c>
      <c r="O330" s="4">
        <v>9.9</v>
      </c>
      <c r="P330" s="4">
        <v>1601.5</v>
      </c>
      <c r="Q330" s="5">
        <v>1.71</v>
      </c>
    </row>
    <row r="331" spans="1:17">
      <c r="A331" s="3">
        <v>16</v>
      </c>
      <c r="B331" s="2" t="s">
        <v>48</v>
      </c>
      <c r="C331" s="2" t="s">
        <v>24</v>
      </c>
      <c r="D331" s="2" t="s">
        <v>49</v>
      </c>
      <c r="E331" s="2" t="s">
        <v>21</v>
      </c>
      <c r="F331" s="4">
        <v>25.4</v>
      </c>
      <c r="G331" s="4">
        <v>3761</v>
      </c>
      <c r="H331" s="2" t="s">
        <v>36</v>
      </c>
      <c r="I331" s="2" t="s">
        <v>23</v>
      </c>
      <c r="J331" s="3">
        <v>250</v>
      </c>
      <c r="K331" s="5">
        <v>0.93</v>
      </c>
      <c r="L331" s="4">
        <v>73.2</v>
      </c>
      <c r="M331" s="4">
        <v>2437.9</v>
      </c>
      <c r="N331" s="4">
        <v>35.299999999999997</v>
      </c>
      <c r="O331" s="4">
        <v>7.9</v>
      </c>
      <c r="P331" s="4">
        <v>1602.5</v>
      </c>
      <c r="Q331" s="5">
        <v>1.48</v>
      </c>
    </row>
    <row r="332" spans="1:17">
      <c r="A332" s="3">
        <v>41</v>
      </c>
      <c r="B332" s="2" t="s">
        <v>80</v>
      </c>
      <c r="C332" s="2" t="s">
        <v>19</v>
      </c>
      <c r="D332" s="2" t="s">
        <v>81</v>
      </c>
      <c r="E332" s="2" t="s">
        <v>21</v>
      </c>
      <c r="F332" s="4">
        <v>12.9</v>
      </c>
      <c r="G332" s="4">
        <v>4074</v>
      </c>
      <c r="H332" s="2" t="s">
        <v>29</v>
      </c>
      <c r="I332" s="2" t="s">
        <v>23</v>
      </c>
      <c r="J332" s="3">
        <v>525</v>
      </c>
      <c r="K332" s="5">
        <v>0.94</v>
      </c>
      <c r="L332" s="4">
        <v>73.3</v>
      </c>
      <c r="M332" s="4">
        <v>2486.1</v>
      </c>
      <c r="N332" s="4">
        <v>34.6</v>
      </c>
      <c r="O332" s="4">
        <v>5.6</v>
      </c>
      <c r="P332" s="4">
        <v>3373.3</v>
      </c>
      <c r="Q332" s="5">
        <v>3.18</v>
      </c>
    </row>
    <row r="333" spans="1:17">
      <c r="A333" s="3">
        <v>79</v>
      </c>
      <c r="B333" s="2" t="s">
        <v>53</v>
      </c>
      <c r="C333" s="2" t="s">
        <v>33</v>
      </c>
      <c r="D333" s="2" t="s">
        <v>46</v>
      </c>
      <c r="E333" s="2" t="s">
        <v>47</v>
      </c>
      <c r="F333" s="4">
        <v>36.1</v>
      </c>
      <c r="G333" s="4">
        <v>3493</v>
      </c>
      <c r="H333" s="2" t="s">
        <v>39</v>
      </c>
      <c r="I333" s="2" t="s">
        <v>23</v>
      </c>
      <c r="J333" s="3">
        <v>500</v>
      </c>
      <c r="K333" s="5">
        <v>0.96</v>
      </c>
      <c r="L333" s="4">
        <v>73.5</v>
      </c>
      <c r="M333" s="4">
        <v>2541.4</v>
      </c>
      <c r="N333" s="4">
        <v>33.799999999999997</v>
      </c>
      <c r="O333" s="4">
        <v>6.5</v>
      </c>
      <c r="P333" s="4">
        <v>3220.8</v>
      </c>
      <c r="Q333" s="5">
        <v>3.09</v>
      </c>
    </row>
    <row r="334" spans="1:17">
      <c r="A334" s="3">
        <v>39</v>
      </c>
      <c r="B334" s="2" t="s">
        <v>75</v>
      </c>
      <c r="C334" s="2" t="s">
        <v>19</v>
      </c>
      <c r="D334" s="2" t="s">
        <v>76</v>
      </c>
      <c r="E334" s="2" t="s">
        <v>21</v>
      </c>
      <c r="F334" s="4">
        <v>29.6</v>
      </c>
      <c r="G334" s="4">
        <v>3557.5</v>
      </c>
      <c r="H334" s="2" t="s">
        <v>36</v>
      </c>
      <c r="I334" s="2" t="s">
        <v>23</v>
      </c>
      <c r="J334" s="3">
        <v>250</v>
      </c>
      <c r="K334" s="5">
        <v>0.94</v>
      </c>
      <c r="L334" s="4">
        <v>73.599999999999994</v>
      </c>
      <c r="M334" s="4">
        <v>2501.3000000000002</v>
      </c>
      <c r="N334" s="4">
        <v>34.4</v>
      </c>
      <c r="O334" s="4">
        <v>9.8000000000000007</v>
      </c>
      <c r="P334" s="4">
        <v>1611.2</v>
      </c>
      <c r="Q334" s="5">
        <v>1.52</v>
      </c>
    </row>
    <row r="335" spans="1:17">
      <c r="A335" s="3">
        <v>162</v>
      </c>
      <c r="B335" s="2" t="s">
        <v>150</v>
      </c>
      <c r="C335" s="2" t="s">
        <v>19</v>
      </c>
      <c r="D335" s="2" t="s">
        <v>119</v>
      </c>
      <c r="E335" s="2" t="s">
        <v>35</v>
      </c>
      <c r="F335" s="4">
        <v>14.8</v>
      </c>
      <c r="G335" s="4">
        <v>3419</v>
      </c>
      <c r="H335" s="2" t="s">
        <v>39</v>
      </c>
      <c r="I335" s="2" t="s">
        <v>23</v>
      </c>
      <c r="J335" s="3">
        <v>500</v>
      </c>
      <c r="K335" s="5">
        <v>0.99</v>
      </c>
      <c r="L335" s="4">
        <v>73.599999999999994</v>
      </c>
      <c r="M335" s="4">
        <v>2604.8000000000002</v>
      </c>
      <c r="N335" s="4">
        <v>33</v>
      </c>
      <c r="O335" s="4">
        <v>5.3</v>
      </c>
      <c r="P335" s="4">
        <v>3225</v>
      </c>
      <c r="Q335" s="5">
        <v>3.19</v>
      </c>
    </row>
    <row r="336" spans="1:17">
      <c r="A336" s="3">
        <v>199</v>
      </c>
      <c r="B336" s="2" t="s">
        <v>67</v>
      </c>
      <c r="C336" s="2" t="s">
        <v>41</v>
      </c>
      <c r="D336" s="2" t="s">
        <v>46</v>
      </c>
      <c r="E336" s="2" t="s">
        <v>47</v>
      </c>
      <c r="F336" s="4">
        <v>35.5</v>
      </c>
      <c r="G336" s="4">
        <v>3686.3</v>
      </c>
      <c r="H336" s="2" t="s">
        <v>36</v>
      </c>
      <c r="I336" s="2" t="s">
        <v>23</v>
      </c>
      <c r="J336" s="3">
        <v>210</v>
      </c>
      <c r="K336" s="5">
        <v>1.01</v>
      </c>
      <c r="L336" s="4">
        <v>73.599999999999994</v>
      </c>
      <c r="M336" s="4">
        <v>2655.4</v>
      </c>
      <c r="N336" s="4">
        <v>32.4</v>
      </c>
      <c r="O336" s="4">
        <v>9.1</v>
      </c>
      <c r="P336" s="4">
        <v>1354.3</v>
      </c>
      <c r="Q336" s="5">
        <v>1.37</v>
      </c>
    </row>
    <row r="337" spans="1:17">
      <c r="A337" s="3">
        <v>27</v>
      </c>
      <c r="B337" s="2" t="s">
        <v>56</v>
      </c>
      <c r="C337" s="2" t="s">
        <v>63</v>
      </c>
      <c r="D337" s="2" t="s">
        <v>58</v>
      </c>
      <c r="E337" s="2" t="s">
        <v>35</v>
      </c>
      <c r="F337" s="4">
        <v>8.4</v>
      </c>
      <c r="G337" s="4">
        <v>3204.5</v>
      </c>
      <c r="H337" s="2" t="s">
        <v>39</v>
      </c>
      <c r="I337" s="2" t="s">
        <v>23</v>
      </c>
      <c r="J337" s="3">
        <v>500</v>
      </c>
      <c r="K337" s="5">
        <v>0.93</v>
      </c>
      <c r="L337" s="4">
        <v>73.7</v>
      </c>
      <c r="M337" s="4">
        <v>2488.9</v>
      </c>
      <c r="N337" s="4">
        <v>34.5</v>
      </c>
      <c r="O337" s="4">
        <v>5.7</v>
      </c>
      <c r="P337" s="4">
        <v>3228.3</v>
      </c>
      <c r="Q337" s="5">
        <v>3.01</v>
      </c>
    </row>
    <row r="338" spans="1:17">
      <c r="A338" s="3">
        <v>36</v>
      </c>
      <c r="B338" s="2" t="s">
        <v>74</v>
      </c>
      <c r="C338" s="2" t="s">
        <v>24</v>
      </c>
      <c r="D338" s="2" t="s">
        <v>46</v>
      </c>
      <c r="E338" s="2" t="s">
        <v>47</v>
      </c>
      <c r="F338" s="4">
        <v>11.4</v>
      </c>
      <c r="G338" s="4">
        <v>3365.3</v>
      </c>
      <c r="H338" s="2" t="s">
        <v>39</v>
      </c>
      <c r="I338" s="2" t="s">
        <v>23</v>
      </c>
      <c r="J338" s="3">
        <v>500</v>
      </c>
      <c r="K338" s="5">
        <v>0.94</v>
      </c>
      <c r="L338" s="4">
        <v>73.8</v>
      </c>
      <c r="M338" s="4">
        <v>2500.4</v>
      </c>
      <c r="N338" s="4">
        <v>34.4</v>
      </c>
      <c r="O338" s="4">
        <v>5.3</v>
      </c>
      <c r="P338" s="4">
        <v>3233.2</v>
      </c>
      <c r="Q338" s="5">
        <v>3.04</v>
      </c>
    </row>
    <row r="339" spans="1:17">
      <c r="A339" s="3">
        <v>420</v>
      </c>
      <c r="B339" s="2" t="s">
        <v>260</v>
      </c>
      <c r="C339" s="2" t="s">
        <v>24</v>
      </c>
      <c r="D339" s="2" t="s">
        <v>247</v>
      </c>
      <c r="E339" s="2" t="s">
        <v>47</v>
      </c>
      <c r="F339" s="4">
        <v>13.5</v>
      </c>
      <c r="G339" s="4">
        <v>2912</v>
      </c>
      <c r="H339" s="2" t="s">
        <v>43</v>
      </c>
      <c r="I339" s="2" t="s">
        <v>238</v>
      </c>
      <c r="J339" s="3">
        <v>125</v>
      </c>
      <c r="K339" s="5">
        <v>1.22</v>
      </c>
      <c r="L339" s="4">
        <v>73.8</v>
      </c>
      <c r="M339" s="4">
        <v>2908.4</v>
      </c>
      <c r="N339" s="4">
        <v>29.6</v>
      </c>
      <c r="O339" s="4">
        <v>12.6</v>
      </c>
      <c r="P339" s="4">
        <v>808</v>
      </c>
      <c r="Q339" s="5">
        <v>0.99</v>
      </c>
    </row>
    <row r="340" spans="1:17">
      <c r="A340" s="3">
        <v>93</v>
      </c>
      <c r="B340" s="2" t="s">
        <v>95</v>
      </c>
      <c r="C340" s="2" t="s">
        <v>19</v>
      </c>
      <c r="D340" s="2" t="s">
        <v>46</v>
      </c>
      <c r="E340" s="2" t="s">
        <v>47</v>
      </c>
      <c r="F340" s="4">
        <v>22.5</v>
      </c>
      <c r="G340" s="4">
        <v>3127.4</v>
      </c>
      <c r="H340" s="2" t="s">
        <v>39</v>
      </c>
      <c r="I340" s="2" t="s">
        <v>23</v>
      </c>
      <c r="J340" s="3">
        <v>500</v>
      </c>
      <c r="K340" s="5">
        <v>0.96</v>
      </c>
      <c r="L340" s="4">
        <v>73.900000000000006</v>
      </c>
      <c r="M340" s="4">
        <v>2560</v>
      </c>
      <c r="N340" s="4">
        <v>33.6</v>
      </c>
      <c r="O340" s="4">
        <v>5.8</v>
      </c>
      <c r="P340" s="4">
        <v>3235.1</v>
      </c>
      <c r="Q340" s="5">
        <v>3.12</v>
      </c>
    </row>
    <row r="341" spans="1:17">
      <c r="A341" s="3">
        <v>167</v>
      </c>
      <c r="B341" s="2" t="s">
        <v>155</v>
      </c>
      <c r="C341" s="2" t="s">
        <v>57</v>
      </c>
      <c r="D341" s="2" t="s">
        <v>116</v>
      </c>
      <c r="E341" s="2" t="s">
        <v>47</v>
      </c>
      <c r="F341" s="4">
        <v>14.4</v>
      </c>
      <c r="G341" s="4">
        <v>3786.5</v>
      </c>
      <c r="H341" s="2" t="s">
        <v>36</v>
      </c>
      <c r="I341" s="2" t="s">
        <v>23</v>
      </c>
      <c r="J341" s="3">
        <v>250</v>
      </c>
      <c r="K341" s="5">
        <v>0.99</v>
      </c>
      <c r="L341" s="4">
        <v>73.900000000000006</v>
      </c>
      <c r="M341" s="4">
        <v>2634.6</v>
      </c>
      <c r="N341" s="4">
        <v>32.6</v>
      </c>
      <c r="O341" s="4">
        <v>9.5</v>
      </c>
      <c r="P341" s="4">
        <v>1619</v>
      </c>
      <c r="Q341" s="5">
        <v>1.61</v>
      </c>
    </row>
    <row r="342" spans="1:17">
      <c r="A342" s="3">
        <v>334</v>
      </c>
      <c r="B342" s="2" t="s">
        <v>229</v>
      </c>
      <c r="C342" s="2" t="s">
        <v>78</v>
      </c>
      <c r="D342" s="2" t="s">
        <v>58</v>
      </c>
      <c r="E342" s="2" t="s">
        <v>35</v>
      </c>
      <c r="F342" s="4">
        <v>13</v>
      </c>
      <c r="G342" s="4">
        <v>3464.8</v>
      </c>
      <c r="H342" s="2" t="s">
        <v>39</v>
      </c>
      <c r="I342" s="2" t="s">
        <v>23</v>
      </c>
      <c r="J342" s="3">
        <v>500</v>
      </c>
      <c r="K342" s="5">
        <v>1.1000000000000001</v>
      </c>
      <c r="L342" s="4">
        <v>73.900000000000006</v>
      </c>
      <c r="M342" s="4">
        <v>2928.6</v>
      </c>
      <c r="N342" s="4">
        <v>29.4</v>
      </c>
      <c r="O342" s="4">
        <v>5.9</v>
      </c>
      <c r="P342" s="4">
        <v>3237</v>
      </c>
      <c r="Q342" s="5">
        <v>3.57</v>
      </c>
    </row>
    <row r="343" spans="1:17">
      <c r="A343" s="3">
        <v>10</v>
      </c>
      <c r="B343" s="2" t="s">
        <v>37</v>
      </c>
      <c r="C343" s="2" t="s">
        <v>24</v>
      </c>
      <c r="D343" s="2" t="s">
        <v>38</v>
      </c>
      <c r="E343" s="2" t="s">
        <v>21</v>
      </c>
      <c r="F343" s="4">
        <v>9.5</v>
      </c>
      <c r="G343" s="4">
        <v>3185</v>
      </c>
      <c r="H343" s="2" t="s">
        <v>39</v>
      </c>
      <c r="I343" s="2" t="s">
        <v>23</v>
      </c>
      <c r="J343" s="3">
        <v>300</v>
      </c>
      <c r="K343" s="5">
        <v>0.92</v>
      </c>
      <c r="L343" s="4">
        <v>74</v>
      </c>
      <c r="M343" s="4">
        <v>2416.1999999999998</v>
      </c>
      <c r="N343" s="4">
        <v>35.6</v>
      </c>
      <c r="O343" s="4">
        <v>5.0999999999999996</v>
      </c>
      <c r="P343" s="4">
        <v>1945</v>
      </c>
      <c r="Q343" s="5">
        <v>1.78</v>
      </c>
    </row>
    <row r="344" spans="1:17">
      <c r="A344" s="3">
        <v>111</v>
      </c>
      <c r="B344" s="2" t="s">
        <v>37</v>
      </c>
      <c r="C344" s="2" t="s">
        <v>19</v>
      </c>
      <c r="D344" s="2" t="s">
        <v>38</v>
      </c>
      <c r="E344" s="2" t="s">
        <v>21</v>
      </c>
      <c r="F344" s="4">
        <v>9.6</v>
      </c>
      <c r="G344" s="4">
        <v>3205</v>
      </c>
      <c r="H344" s="2" t="s">
        <v>39</v>
      </c>
      <c r="I344" s="2" t="s">
        <v>23</v>
      </c>
      <c r="J344" s="3">
        <v>300</v>
      </c>
      <c r="K344" s="5">
        <v>0.97</v>
      </c>
      <c r="L344" s="4">
        <v>74</v>
      </c>
      <c r="M344" s="4">
        <v>2561.5</v>
      </c>
      <c r="N344" s="4">
        <v>33.6</v>
      </c>
      <c r="O344" s="4">
        <v>10.4</v>
      </c>
      <c r="P344" s="4">
        <v>1945</v>
      </c>
      <c r="Q344" s="5">
        <v>1.89</v>
      </c>
    </row>
    <row r="345" spans="1:17">
      <c r="A345" s="3">
        <v>89</v>
      </c>
      <c r="B345" s="2" t="s">
        <v>104</v>
      </c>
      <c r="C345" s="2" t="s">
        <v>24</v>
      </c>
      <c r="D345" s="2" t="s">
        <v>105</v>
      </c>
      <c r="E345" s="2" t="s">
        <v>21</v>
      </c>
      <c r="F345" s="4">
        <v>10.9</v>
      </c>
      <c r="G345" s="4">
        <v>3666.1</v>
      </c>
      <c r="H345" s="2" t="s">
        <v>36</v>
      </c>
      <c r="I345" s="2" t="s">
        <v>23</v>
      </c>
      <c r="J345" s="3">
        <v>300</v>
      </c>
      <c r="K345" s="5">
        <v>0.96</v>
      </c>
      <c r="L345" s="4">
        <v>74.099999999999994</v>
      </c>
      <c r="M345" s="4">
        <v>2540.3000000000002</v>
      </c>
      <c r="N345" s="4">
        <v>33.799999999999997</v>
      </c>
      <c r="O345" s="4">
        <v>7.8</v>
      </c>
      <c r="P345" s="4">
        <v>1946.7</v>
      </c>
      <c r="Q345" s="5">
        <v>1.87</v>
      </c>
    </row>
    <row r="346" spans="1:17">
      <c r="A346" s="3">
        <v>113</v>
      </c>
      <c r="B346" s="2" t="s">
        <v>96</v>
      </c>
      <c r="C346" s="2" t="s">
        <v>24</v>
      </c>
      <c r="D346" s="2" t="s">
        <v>46</v>
      </c>
      <c r="E346" s="2" t="s">
        <v>47</v>
      </c>
      <c r="F346" s="4">
        <v>28.4</v>
      </c>
      <c r="G346" s="4">
        <v>3377.7</v>
      </c>
      <c r="H346" s="2" t="s">
        <v>39</v>
      </c>
      <c r="I346" s="2" t="s">
        <v>23</v>
      </c>
      <c r="J346" s="3">
        <v>500</v>
      </c>
      <c r="K346" s="5">
        <v>0.97</v>
      </c>
      <c r="L346" s="4">
        <v>74.599999999999994</v>
      </c>
      <c r="M346" s="4">
        <v>2563.6999999999998</v>
      </c>
      <c r="N346" s="4">
        <v>33.5</v>
      </c>
      <c r="O346" s="4">
        <v>6.9</v>
      </c>
      <c r="P346" s="4">
        <v>3265.9</v>
      </c>
      <c r="Q346" s="5">
        <v>3.18</v>
      </c>
    </row>
    <row r="347" spans="1:17">
      <c r="A347" s="3">
        <v>159</v>
      </c>
      <c r="B347" s="2" t="s">
        <v>32</v>
      </c>
      <c r="C347" s="2" t="s">
        <v>41</v>
      </c>
      <c r="D347" s="2" t="s">
        <v>34</v>
      </c>
      <c r="E347" s="2" t="s">
        <v>35</v>
      </c>
      <c r="F347" s="4">
        <v>26.4</v>
      </c>
      <c r="G347" s="4">
        <v>2884</v>
      </c>
      <c r="H347" s="2" t="s">
        <v>43</v>
      </c>
      <c r="I347" s="2" t="s">
        <v>23</v>
      </c>
      <c r="J347" s="3">
        <v>250</v>
      </c>
      <c r="K347" s="5">
        <v>0.99</v>
      </c>
      <c r="L347" s="4">
        <v>74.599999999999994</v>
      </c>
      <c r="M347" s="4">
        <v>2600</v>
      </c>
      <c r="N347" s="4">
        <v>33.1</v>
      </c>
      <c r="O347" s="4">
        <v>10.7</v>
      </c>
      <c r="P347" s="4">
        <v>1633.9</v>
      </c>
      <c r="Q347" s="5">
        <v>1.61</v>
      </c>
    </row>
    <row r="348" spans="1:17">
      <c r="A348" s="3">
        <v>136</v>
      </c>
      <c r="B348" s="2" t="s">
        <v>128</v>
      </c>
      <c r="C348" s="2" t="s">
        <v>19</v>
      </c>
      <c r="D348" s="2" t="s">
        <v>46</v>
      </c>
      <c r="E348" s="2" t="s">
        <v>47</v>
      </c>
      <c r="F348" s="4">
        <v>42.5</v>
      </c>
      <c r="G348" s="4">
        <v>3768.6</v>
      </c>
      <c r="H348" s="2" t="s">
        <v>36</v>
      </c>
      <c r="I348" s="2" t="s">
        <v>23</v>
      </c>
      <c r="J348" s="3">
        <v>200</v>
      </c>
      <c r="K348" s="5">
        <v>0.98</v>
      </c>
      <c r="L348" s="4">
        <v>74.900000000000006</v>
      </c>
      <c r="M348" s="4">
        <v>2578.6999999999998</v>
      </c>
      <c r="N348" s="4">
        <v>33.299999999999997</v>
      </c>
      <c r="O348" s="4">
        <v>8.8000000000000007</v>
      </c>
      <c r="P348" s="4">
        <v>1311.4</v>
      </c>
      <c r="Q348" s="5">
        <v>1.28</v>
      </c>
    </row>
    <row r="349" spans="1:17">
      <c r="A349" s="3">
        <v>110</v>
      </c>
      <c r="B349" s="2" t="s">
        <v>112</v>
      </c>
      <c r="C349" s="2" t="s">
        <v>24</v>
      </c>
      <c r="D349" s="2" t="s">
        <v>46</v>
      </c>
      <c r="E349" s="2" t="s">
        <v>47</v>
      </c>
      <c r="F349" s="4">
        <v>35.1</v>
      </c>
      <c r="G349" s="4">
        <v>3894.1</v>
      </c>
      <c r="H349" s="2" t="s">
        <v>36</v>
      </c>
      <c r="I349" s="2" t="s">
        <v>23</v>
      </c>
      <c r="J349" s="3">
        <v>500</v>
      </c>
      <c r="K349" s="5">
        <v>0.97</v>
      </c>
      <c r="L349" s="4">
        <v>75.099999999999994</v>
      </c>
      <c r="M349" s="4">
        <v>2553</v>
      </c>
      <c r="N349" s="4">
        <v>33.700000000000003</v>
      </c>
      <c r="O349" s="4">
        <v>8</v>
      </c>
      <c r="P349" s="4">
        <v>3289.1</v>
      </c>
      <c r="Q349" s="5">
        <v>3.19</v>
      </c>
    </row>
    <row r="350" spans="1:17">
      <c r="A350" s="3">
        <v>148</v>
      </c>
      <c r="B350" s="2" t="s">
        <v>141</v>
      </c>
      <c r="C350" s="2" t="s">
        <v>45</v>
      </c>
      <c r="D350" s="2" t="s">
        <v>142</v>
      </c>
      <c r="E350" s="2" t="s">
        <v>35</v>
      </c>
      <c r="F350" s="4">
        <v>15.2</v>
      </c>
      <c r="G350" s="4">
        <v>3424.1</v>
      </c>
      <c r="H350" s="2" t="s">
        <v>39</v>
      </c>
      <c r="I350" s="2" t="s">
        <v>23</v>
      </c>
      <c r="J350" s="3">
        <v>195</v>
      </c>
      <c r="K350" s="5">
        <v>0.98</v>
      </c>
      <c r="L350" s="4">
        <v>75.099999999999994</v>
      </c>
      <c r="M350" s="4">
        <v>2591.4</v>
      </c>
      <c r="N350" s="4">
        <v>33.200000000000003</v>
      </c>
      <c r="O350" s="4">
        <v>11.2</v>
      </c>
      <c r="P350" s="4">
        <v>1282.9000000000001</v>
      </c>
      <c r="Q350" s="5">
        <v>1.26</v>
      </c>
    </row>
    <row r="351" spans="1:17">
      <c r="A351" s="3">
        <v>63</v>
      </c>
      <c r="B351" s="2" t="s">
        <v>90</v>
      </c>
      <c r="C351" s="2" t="s">
        <v>51</v>
      </c>
      <c r="D351" s="2" t="s">
        <v>46</v>
      </c>
      <c r="E351" s="2" t="s">
        <v>47</v>
      </c>
      <c r="F351" s="4">
        <v>16.399999999999999</v>
      </c>
      <c r="G351" s="4">
        <v>3506.3</v>
      </c>
      <c r="H351" s="2" t="s">
        <v>36</v>
      </c>
      <c r="I351" s="2" t="s">
        <v>23</v>
      </c>
      <c r="J351" s="3">
        <v>500</v>
      </c>
      <c r="K351" s="5">
        <v>0.95</v>
      </c>
      <c r="L351" s="4">
        <v>75.2</v>
      </c>
      <c r="M351" s="4">
        <v>2512.1999999999998</v>
      </c>
      <c r="N351" s="4">
        <v>34.200000000000003</v>
      </c>
      <c r="O351" s="4">
        <v>5.7</v>
      </c>
      <c r="P351" s="4">
        <v>3293.2</v>
      </c>
      <c r="Q351" s="5">
        <v>3.13</v>
      </c>
    </row>
    <row r="352" spans="1:17">
      <c r="A352" s="3">
        <v>145</v>
      </c>
      <c r="B352" s="2" t="s">
        <v>77</v>
      </c>
      <c r="C352" s="2" t="s">
        <v>33</v>
      </c>
      <c r="D352" s="2" t="s">
        <v>79</v>
      </c>
      <c r="E352" s="2" t="s">
        <v>21</v>
      </c>
      <c r="F352" s="4">
        <v>9.4</v>
      </c>
      <c r="G352" s="4">
        <v>3653.8</v>
      </c>
      <c r="H352" s="2" t="s">
        <v>36</v>
      </c>
      <c r="I352" s="2" t="s">
        <v>23</v>
      </c>
      <c r="J352" s="3">
        <v>270</v>
      </c>
      <c r="K352" s="5">
        <v>0.98</v>
      </c>
      <c r="L352" s="4">
        <v>75.2</v>
      </c>
      <c r="M352" s="4">
        <v>2593.5</v>
      </c>
      <c r="N352" s="4">
        <v>33.200000000000003</v>
      </c>
      <c r="O352" s="4">
        <v>7.7</v>
      </c>
      <c r="P352" s="4">
        <v>1779.3</v>
      </c>
      <c r="Q352" s="5">
        <v>1.75</v>
      </c>
    </row>
    <row r="353" spans="1:17">
      <c r="A353" s="3">
        <v>298</v>
      </c>
      <c r="B353" s="2" t="s">
        <v>217</v>
      </c>
      <c r="C353" s="2" t="s">
        <v>57</v>
      </c>
      <c r="D353" s="2" t="s">
        <v>218</v>
      </c>
      <c r="E353" s="2" t="s">
        <v>35</v>
      </c>
      <c r="F353" s="4">
        <v>10.4</v>
      </c>
      <c r="G353" s="4">
        <v>3909</v>
      </c>
      <c r="H353" s="2" t="s">
        <v>36</v>
      </c>
      <c r="I353" s="2" t="s">
        <v>23</v>
      </c>
      <c r="J353" s="3">
        <v>250</v>
      </c>
      <c r="K353" s="5">
        <v>1.08</v>
      </c>
      <c r="L353" s="4">
        <v>75.3</v>
      </c>
      <c r="M353" s="4">
        <v>2834.5</v>
      </c>
      <c r="N353" s="4">
        <v>30.3</v>
      </c>
      <c r="O353" s="4">
        <v>10.8</v>
      </c>
      <c r="P353" s="4">
        <v>1648</v>
      </c>
      <c r="Q353" s="5">
        <v>1.77</v>
      </c>
    </row>
    <row r="354" spans="1:17">
      <c r="A354" s="3">
        <v>140</v>
      </c>
      <c r="B354" s="2" t="s">
        <v>136</v>
      </c>
      <c r="C354" s="2" t="s">
        <v>24</v>
      </c>
      <c r="D354" s="2" t="s">
        <v>137</v>
      </c>
      <c r="E354" s="2" t="s">
        <v>47</v>
      </c>
      <c r="F354" s="4">
        <v>15.1</v>
      </c>
      <c r="G354" s="4">
        <v>3281.1</v>
      </c>
      <c r="H354" s="2" t="s">
        <v>39</v>
      </c>
      <c r="I354" s="2" t="s">
        <v>23</v>
      </c>
      <c r="J354" s="3">
        <v>250</v>
      </c>
      <c r="K354" s="5">
        <v>0.98</v>
      </c>
      <c r="L354" s="4">
        <v>75.5</v>
      </c>
      <c r="M354" s="4">
        <v>2583.1999999999998</v>
      </c>
      <c r="N354" s="4">
        <v>33.299999999999997</v>
      </c>
      <c r="O354" s="4">
        <v>8.6</v>
      </c>
      <c r="P354" s="4">
        <v>1654.3</v>
      </c>
      <c r="Q354" s="5">
        <v>1.62</v>
      </c>
    </row>
    <row r="355" spans="1:17">
      <c r="A355" s="3">
        <v>203</v>
      </c>
      <c r="B355" s="2" t="s">
        <v>90</v>
      </c>
      <c r="C355" s="2" t="s">
        <v>19</v>
      </c>
      <c r="D355" s="2" t="s">
        <v>46</v>
      </c>
      <c r="E355" s="2" t="s">
        <v>47</v>
      </c>
      <c r="F355" s="4">
        <v>32.4</v>
      </c>
      <c r="G355" s="4">
        <v>3497.9</v>
      </c>
      <c r="H355" s="2" t="s">
        <v>39</v>
      </c>
      <c r="I355" s="2" t="s">
        <v>23</v>
      </c>
      <c r="J355" s="3">
        <v>210</v>
      </c>
      <c r="K355" s="5">
        <v>1.01</v>
      </c>
      <c r="L355" s="4">
        <v>75.5</v>
      </c>
      <c r="M355" s="4">
        <v>2681.6</v>
      </c>
      <c r="N355" s="4">
        <v>32.1</v>
      </c>
      <c r="O355" s="4">
        <v>9.6</v>
      </c>
      <c r="P355" s="4">
        <v>1388.9</v>
      </c>
      <c r="Q355" s="5">
        <v>1.41</v>
      </c>
    </row>
    <row r="356" spans="1:17">
      <c r="A356" s="3">
        <v>205</v>
      </c>
      <c r="B356" s="2" t="s">
        <v>67</v>
      </c>
      <c r="C356" s="2" t="s">
        <v>19</v>
      </c>
      <c r="D356" s="2" t="s">
        <v>46</v>
      </c>
      <c r="E356" s="2" t="s">
        <v>47</v>
      </c>
      <c r="F356" s="4">
        <v>36.799999999999997</v>
      </c>
      <c r="G356" s="4">
        <v>3714.1</v>
      </c>
      <c r="H356" s="2" t="s">
        <v>36</v>
      </c>
      <c r="I356" s="2" t="s">
        <v>23</v>
      </c>
      <c r="J356" s="3">
        <v>210</v>
      </c>
      <c r="K356" s="5">
        <v>1.02</v>
      </c>
      <c r="L356" s="4">
        <v>75.5</v>
      </c>
      <c r="M356" s="4">
        <v>2674.7</v>
      </c>
      <c r="N356" s="4">
        <v>32.1</v>
      </c>
      <c r="O356" s="4">
        <v>9.4</v>
      </c>
      <c r="P356" s="4">
        <v>1389.6</v>
      </c>
      <c r="Q356" s="5">
        <v>1.41</v>
      </c>
    </row>
    <row r="357" spans="1:17">
      <c r="A357" s="3">
        <v>157</v>
      </c>
      <c r="B357" s="2" t="s">
        <v>134</v>
      </c>
      <c r="C357" s="2" t="s">
        <v>63</v>
      </c>
      <c r="D357" s="2" t="s">
        <v>135</v>
      </c>
      <c r="E357" s="2" t="s">
        <v>35</v>
      </c>
      <c r="F357" s="4">
        <v>6.4</v>
      </c>
      <c r="G357" s="4">
        <v>3490.5</v>
      </c>
      <c r="H357" s="2" t="s">
        <v>39</v>
      </c>
      <c r="I357" s="2" t="s">
        <v>23</v>
      </c>
      <c r="J357" s="3">
        <v>250</v>
      </c>
      <c r="K357" s="5">
        <v>0.99</v>
      </c>
      <c r="L357" s="4">
        <v>75.599999999999994</v>
      </c>
      <c r="M357" s="4">
        <v>2601.1999999999998</v>
      </c>
      <c r="N357" s="4">
        <v>33.1</v>
      </c>
      <c r="O357" s="4">
        <v>9.4</v>
      </c>
      <c r="P357" s="4">
        <v>1655.8</v>
      </c>
      <c r="Q357" s="5">
        <v>1.64</v>
      </c>
    </row>
    <row r="358" spans="1:17">
      <c r="A358" s="3">
        <v>103</v>
      </c>
      <c r="B358" s="2" t="s">
        <v>113</v>
      </c>
      <c r="C358" s="2" t="s">
        <v>19</v>
      </c>
      <c r="D358" s="2" t="s">
        <v>114</v>
      </c>
      <c r="E358" s="2" t="s">
        <v>35</v>
      </c>
      <c r="F358" s="4">
        <v>16.7</v>
      </c>
      <c r="G358" s="4">
        <v>3383.3</v>
      </c>
      <c r="H358" s="2" t="s">
        <v>39</v>
      </c>
      <c r="I358" s="2" t="s">
        <v>23</v>
      </c>
      <c r="J358" s="3">
        <v>300</v>
      </c>
      <c r="K358" s="5">
        <v>0.97</v>
      </c>
      <c r="L358" s="4">
        <v>75.8</v>
      </c>
      <c r="M358" s="4">
        <v>2551.1999999999998</v>
      </c>
      <c r="N358" s="4">
        <v>33.700000000000003</v>
      </c>
      <c r="O358" s="4">
        <v>8.5</v>
      </c>
      <c r="P358" s="4">
        <v>1991.5</v>
      </c>
      <c r="Q358" s="5">
        <v>1.93</v>
      </c>
    </row>
    <row r="359" spans="1:17">
      <c r="A359" s="3">
        <v>179</v>
      </c>
      <c r="B359" s="2" t="s">
        <v>128</v>
      </c>
      <c r="C359" s="2" t="s">
        <v>24</v>
      </c>
      <c r="D359" s="2" t="s">
        <v>46</v>
      </c>
      <c r="E359" s="2" t="s">
        <v>47</v>
      </c>
      <c r="F359" s="4">
        <v>41.7</v>
      </c>
      <c r="G359" s="4">
        <v>3757.9</v>
      </c>
      <c r="H359" s="2" t="s">
        <v>36</v>
      </c>
      <c r="I359" s="2" t="s">
        <v>23</v>
      </c>
      <c r="J359" s="3">
        <v>200</v>
      </c>
      <c r="K359" s="5">
        <v>1</v>
      </c>
      <c r="L359" s="4">
        <v>75.8</v>
      </c>
      <c r="M359" s="4">
        <v>2623.3</v>
      </c>
      <c r="N359" s="4">
        <v>32.799999999999997</v>
      </c>
      <c r="O359" s="4">
        <v>8.9</v>
      </c>
      <c r="P359" s="4">
        <v>1327.2</v>
      </c>
      <c r="Q359" s="5">
        <v>1.32</v>
      </c>
    </row>
    <row r="360" spans="1:17">
      <c r="A360" s="3">
        <v>204</v>
      </c>
      <c r="B360" s="2" t="s">
        <v>168</v>
      </c>
      <c r="C360" s="2" t="s">
        <v>24</v>
      </c>
      <c r="D360" s="2" t="s">
        <v>116</v>
      </c>
      <c r="E360" s="2" t="s">
        <v>47</v>
      </c>
      <c r="F360" s="4">
        <v>11.5</v>
      </c>
      <c r="G360" s="4">
        <v>4004.7</v>
      </c>
      <c r="H360" s="2" t="s">
        <v>29</v>
      </c>
      <c r="I360" s="2" t="s">
        <v>23</v>
      </c>
      <c r="J360" s="3">
        <v>500</v>
      </c>
      <c r="K360" s="5">
        <v>1.02</v>
      </c>
      <c r="L360" s="4">
        <v>75.8</v>
      </c>
      <c r="M360" s="4">
        <v>2695.4</v>
      </c>
      <c r="N360" s="4">
        <v>31.9</v>
      </c>
      <c r="O360" s="4">
        <v>5.4</v>
      </c>
      <c r="P360" s="4">
        <v>3321.8</v>
      </c>
      <c r="Q360" s="5">
        <v>3.37</v>
      </c>
    </row>
    <row r="361" spans="1:17">
      <c r="A361" s="3">
        <v>188</v>
      </c>
      <c r="B361" s="2" t="s">
        <v>163</v>
      </c>
      <c r="C361" s="2" t="s">
        <v>24</v>
      </c>
      <c r="D361" s="2" t="s">
        <v>46</v>
      </c>
      <c r="E361" s="2" t="s">
        <v>47</v>
      </c>
      <c r="F361" s="4">
        <v>7.4</v>
      </c>
      <c r="G361" s="4">
        <v>4064.5</v>
      </c>
      <c r="H361" s="2" t="s">
        <v>29</v>
      </c>
      <c r="I361" s="2" t="s">
        <v>23</v>
      </c>
      <c r="J361" s="3">
        <v>250</v>
      </c>
      <c r="K361" s="5">
        <v>1</v>
      </c>
      <c r="L361" s="4">
        <v>75.900000000000006</v>
      </c>
      <c r="M361" s="4">
        <v>2639.9</v>
      </c>
      <c r="N361" s="4">
        <v>32.6</v>
      </c>
      <c r="O361" s="4">
        <v>8.6</v>
      </c>
      <c r="P361" s="4">
        <v>1662.2</v>
      </c>
      <c r="Q361" s="5">
        <v>1.66</v>
      </c>
    </row>
    <row r="362" spans="1:17">
      <c r="A362" s="3">
        <v>112</v>
      </c>
      <c r="B362" s="2" t="s">
        <v>77</v>
      </c>
      <c r="C362" s="2" t="s">
        <v>19</v>
      </c>
      <c r="D362" s="2" t="s">
        <v>79</v>
      </c>
      <c r="E362" s="2" t="s">
        <v>21</v>
      </c>
      <c r="F362" s="4">
        <v>11.4</v>
      </c>
      <c r="G362" s="4">
        <v>3652</v>
      </c>
      <c r="H362" s="2" t="s">
        <v>36</v>
      </c>
      <c r="I362" s="2" t="s">
        <v>23</v>
      </c>
      <c r="J362" s="3">
        <v>270</v>
      </c>
      <c r="K362" s="5">
        <v>0.97</v>
      </c>
      <c r="L362" s="4">
        <v>76</v>
      </c>
      <c r="M362" s="4">
        <v>2561.6</v>
      </c>
      <c r="N362" s="4">
        <v>33.6</v>
      </c>
      <c r="O362" s="4">
        <v>7.7</v>
      </c>
      <c r="P362" s="4">
        <v>1796.8</v>
      </c>
      <c r="Q362" s="5">
        <v>1.75</v>
      </c>
    </row>
    <row r="363" spans="1:17">
      <c r="A363" s="3">
        <v>386</v>
      </c>
      <c r="B363" s="2" t="s">
        <v>246</v>
      </c>
      <c r="C363" s="2" t="s">
        <v>24</v>
      </c>
      <c r="D363" s="2" t="s">
        <v>247</v>
      </c>
      <c r="E363" s="2" t="s">
        <v>47</v>
      </c>
      <c r="F363" s="4">
        <v>3.5</v>
      </c>
      <c r="G363" s="4">
        <v>2640</v>
      </c>
      <c r="H363" s="2" t="s">
        <v>43</v>
      </c>
      <c r="I363" s="2" t="s">
        <v>238</v>
      </c>
      <c r="J363" s="3">
        <v>500</v>
      </c>
      <c r="K363" s="5">
        <v>1.18</v>
      </c>
      <c r="L363" s="4">
        <v>76</v>
      </c>
      <c r="M363" s="4">
        <v>2800.5</v>
      </c>
      <c r="N363" s="4">
        <v>30.7</v>
      </c>
      <c r="O363" s="4">
        <v>6.1</v>
      </c>
      <c r="P363" s="4">
        <v>3330.5</v>
      </c>
      <c r="Q363" s="5">
        <v>3.93</v>
      </c>
    </row>
    <row r="364" spans="1:17">
      <c r="A364" s="3">
        <v>209</v>
      </c>
      <c r="B364" s="2" t="s">
        <v>50</v>
      </c>
      <c r="C364" s="2" t="s">
        <v>19</v>
      </c>
      <c r="D364" s="2" t="s">
        <v>52</v>
      </c>
      <c r="E364" s="2" t="s">
        <v>35</v>
      </c>
      <c r="F364" s="4">
        <v>37.6</v>
      </c>
      <c r="G364" s="4">
        <v>3216</v>
      </c>
      <c r="H364" s="2" t="s">
        <v>39</v>
      </c>
      <c r="I364" s="2" t="s">
        <v>23</v>
      </c>
      <c r="J364" s="3">
        <v>210</v>
      </c>
      <c r="K364" s="5">
        <v>1.02</v>
      </c>
      <c r="L364" s="4">
        <v>76.099999999999994</v>
      </c>
      <c r="M364" s="4">
        <v>2681.2</v>
      </c>
      <c r="N364" s="4">
        <v>32.1</v>
      </c>
      <c r="O364" s="4">
        <v>9.9</v>
      </c>
      <c r="P364" s="4">
        <v>1399.6</v>
      </c>
      <c r="Q364" s="5">
        <v>1.42</v>
      </c>
    </row>
    <row r="365" spans="1:17">
      <c r="A365" s="3">
        <v>50</v>
      </c>
      <c r="B365" s="2" t="s">
        <v>65</v>
      </c>
      <c r="C365" s="2" t="s">
        <v>19</v>
      </c>
      <c r="D365" s="2" t="s">
        <v>46</v>
      </c>
      <c r="E365" s="2" t="s">
        <v>47</v>
      </c>
      <c r="F365" s="4">
        <v>17.2</v>
      </c>
      <c r="G365" s="4">
        <v>3454.5</v>
      </c>
      <c r="H365" s="2" t="s">
        <v>39</v>
      </c>
      <c r="I365" s="2" t="s">
        <v>23</v>
      </c>
      <c r="J365" s="3">
        <v>500</v>
      </c>
      <c r="K365" s="5">
        <v>0.95</v>
      </c>
      <c r="L365" s="4">
        <v>76.3</v>
      </c>
      <c r="M365" s="4">
        <v>2502.6999999999998</v>
      </c>
      <c r="N365" s="4">
        <v>34.4</v>
      </c>
      <c r="O365" s="4">
        <v>5.9</v>
      </c>
      <c r="P365" s="4">
        <v>3344.1</v>
      </c>
      <c r="Q365" s="5">
        <v>3.17</v>
      </c>
    </row>
    <row r="366" spans="1:17">
      <c r="A366" s="3">
        <v>142</v>
      </c>
      <c r="B366" s="2" t="s">
        <v>127</v>
      </c>
      <c r="C366" s="2" t="s">
        <v>24</v>
      </c>
      <c r="D366" s="2" t="s">
        <v>116</v>
      </c>
      <c r="E366" s="2" t="s">
        <v>47</v>
      </c>
      <c r="F366" s="4">
        <v>13.4</v>
      </c>
      <c r="G366" s="4">
        <v>3603.2</v>
      </c>
      <c r="H366" s="2" t="s">
        <v>36</v>
      </c>
      <c r="I366" s="2" t="s">
        <v>23</v>
      </c>
      <c r="J366" s="3">
        <v>500</v>
      </c>
      <c r="K366" s="5">
        <v>0.98</v>
      </c>
      <c r="L366" s="4">
        <v>76.3</v>
      </c>
      <c r="M366" s="4">
        <v>2598.5</v>
      </c>
      <c r="N366" s="4">
        <v>33.1</v>
      </c>
      <c r="O366" s="4">
        <v>5.6</v>
      </c>
      <c r="P366" s="4">
        <v>3341</v>
      </c>
      <c r="Q366" s="5">
        <v>3.28</v>
      </c>
    </row>
    <row r="367" spans="1:17">
      <c r="A367" s="3">
        <v>190</v>
      </c>
      <c r="B367" s="2" t="s">
        <v>166</v>
      </c>
      <c r="C367" s="2" t="s">
        <v>33</v>
      </c>
      <c r="D367" s="2" t="s">
        <v>167</v>
      </c>
      <c r="E367" s="2" t="s">
        <v>47</v>
      </c>
      <c r="F367" s="4">
        <v>7.4</v>
      </c>
      <c r="G367" s="4">
        <v>3614.1</v>
      </c>
      <c r="H367" s="2" t="s">
        <v>36</v>
      </c>
      <c r="I367" s="2" t="s">
        <v>23</v>
      </c>
      <c r="J367" s="3">
        <v>195</v>
      </c>
      <c r="K367" s="5">
        <v>1</v>
      </c>
      <c r="L367" s="4">
        <v>76.3</v>
      </c>
      <c r="M367" s="4">
        <v>2637.1</v>
      </c>
      <c r="N367" s="4">
        <v>32.6</v>
      </c>
      <c r="O367" s="4">
        <v>9.1999999999999993</v>
      </c>
      <c r="P367" s="4">
        <v>1303.5999999999999</v>
      </c>
      <c r="Q367" s="5">
        <v>1.31</v>
      </c>
    </row>
    <row r="368" spans="1:17">
      <c r="A368" s="3">
        <v>350</v>
      </c>
      <c r="B368" s="2" t="s">
        <v>232</v>
      </c>
      <c r="C368" s="2" t="s">
        <v>41</v>
      </c>
      <c r="D368" s="2" t="s">
        <v>149</v>
      </c>
      <c r="E368" s="2" t="s">
        <v>35</v>
      </c>
      <c r="F368" s="4">
        <v>39.4</v>
      </c>
      <c r="G368" s="4">
        <v>3640</v>
      </c>
      <c r="H368" s="2" t="s">
        <v>36</v>
      </c>
      <c r="I368" s="2" t="s">
        <v>23</v>
      </c>
      <c r="J368" s="3">
        <v>210</v>
      </c>
      <c r="K368" s="5">
        <v>1.1299999999999999</v>
      </c>
      <c r="L368" s="4">
        <v>76.3</v>
      </c>
      <c r="M368" s="4">
        <v>2978.4</v>
      </c>
      <c r="N368" s="4">
        <v>28.9</v>
      </c>
      <c r="O368" s="4">
        <v>9.4</v>
      </c>
      <c r="P368" s="4">
        <v>1403</v>
      </c>
      <c r="Q368" s="5">
        <v>1.59</v>
      </c>
    </row>
    <row r="369" spans="1:17">
      <c r="A369" s="3">
        <v>144</v>
      </c>
      <c r="B369" s="2" t="s">
        <v>139</v>
      </c>
      <c r="C369" s="2" t="s">
        <v>78</v>
      </c>
      <c r="D369" s="2" t="s">
        <v>93</v>
      </c>
      <c r="E369" s="2" t="s">
        <v>35</v>
      </c>
      <c r="F369" s="4">
        <v>15.2</v>
      </c>
      <c r="G369" s="4">
        <v>4253</v>
      </c>
      <c r="H369" s="2" t="s">
        <v>29</v>
      </c>
      <c r="I369" s="2" t="s">
        <v>23</v>
      </c>
      <c r="J369" s="3">
        <v>210</v>
      </c>
      <c r="K369" s="5">
        <v>0.98</v>
      </c>
      <c r="L369" s="4">
        <v>76.5</v>
      </c>
      <c r="M369" s="4">
        <v>2585.6</v>
      </c>
      <c r="N369" s="4">
        <v>33.299999999999997</v>
      </c>
      <c r="O369" s="4">
        <v>8.5</v>
      </c>
      <c r="P369" s="4">
        <v>1408</v>
      </c>
      <c r="Q369" s="5">
        <v>1.38</v>
      </c>
    </row>
    <row r="370" spans="1:17">
      <c r="A370" s="3">
        <v>363</v>
      </c>
      <c r="B370" s="2" t="s">
        <v>240</v>
      </c>
      <c r="C370" s="2" t="s">
        <v>78</v>
      </c>
      <c r="D370" s="2" t="s">
        <v>93</v>
      </c>
      <c r="E370" s="2" t="s">
        <v>35</v>
      </c>
      <c r="F370" s="4">
        <v>41.8</v>
      </c>
      <c r="G370" s="4">
        <v>3579</v>
      </c>
      <c r="H370" s="2" t="s">
        <v>36</v>
      </c>
      <c r="I370" s="2" t="s">
        <v>23</v>
      </c>
      <c r="J370" s="3">
        <v>210</v>
      </c>
      <c r="K370" s="5">
        <v>1.1399999999999999</v>
      </c>
      <c r="L370" s="4">
        <v>76.5</v>
      </c>
      <c r="M370" s="4">
        <v>3009.2</v>
      </c>
      <c r="N370" s="4">
        <v>28.6</v>
      </c>
      <c r="O370" s="4">
        <v>9.5</v>
      </c>
      <c r="P370" s="4">
        <v>1407</v>
      </c>
      <c r="Q370" s="5">
        <v>1.61</v>
      </c>
    </row>
    <row r="371" spans="1:17">
      <c r="A371" s="3">
        <v>305</v>
      </c>
      <c r="B371" s="2" t="s">
        <v>221</v>
      </c>
      <c r="C371" s="2" t="s">
        <v>45</v>
      </c>
      <c r="D371" s="2" t="s">
        <v>114</v>
      </c>
      <c r="E371" s="2" t="s">
        <v>35</v>
      </c>
      <c r="F371" s="4">
        <v>19.899999999999999</v>
      </c>
      <c r="G371" s="4">
        <v>3712.7</v>
      </c>
      <c r="H371" s="2" t="s">
        <v>36</v>
      </c>
      <c r="I371" s="2" t="s">
        <v>23</v>
      </c>
      <c r="J371" s="3">
        <v>250</v>
      </c>
      <c r="K371" s="5">
        <v>1.08</v>
      </c>
      <c r="L371" s="4">
        <v>76.599999999999994</v>
      </c>
      <c r="M371" s="4">
        <v>2856</v>
      </c>
      <c r="N371" s="4">
        <v>30.1</v>
      </c>
      <c r="O371" s="4">
        <v>9.1999999999999993</v>
      </c>
      <c r="P371" s="4">
        <v>1678.5</v>
      </c>
      <c r="Q371" s="5">
        <v>1.81</v>
      </c>
    </row>
    <row r="372" spans="1:17">
      <c r="A372" s="3">
        <v>230</v>
      </c>
      <c r="B372" s="2" t="s">
        <v>181</v>
      </c>
      <c r="C372" s="2" t="s">
        <v>78</v>
      </c>
      <c r="D372" s="2" t="s">
        <v>116</v>
      </c>
      <c r="E372" s="2" t="s">
        <v>47</v>
      </c>
      <c r="F372" s="4">
        <v>17.399999999999999</v>
      </c>
      <c r="G372" s="4">
        <v>3552.1</v>
      </c>
      <c r="H372" s="2" t="s">
        <v>36</v>
      </c>
      <c r="I372" s="2" t="s">
        <v>23</v>
      </c>
      <c r="J372" s="3">
        <v>250</v>
      </c>
      <c r="K372" s="5">
        <v>1.03</v>
      </c>
      <c r="L372" s="4">
        <v>76.7</v>
      </c>
      <c r="M372" s="4">
        <v>2721.2</v>
      </c>
      <c r="N372" s="4">
        <v>31.6</v>
      </c>
      <c r="O372" s="4">
        <v>9.8000000000000007</v>
      </c>
      <c r="P372" s="4">
        <v>1678.7</v>
      </c>
      <c r="Q372" s="5">
        <v>1.73</v>
      </c>
    </row>
    <row r="373" spans="1:17">
      <c r="A373" s="3">
        <v>261</v>
      </c>
      <c r="B373" s="2" t="s">
        <v>199</v>
      </c>
      <c r="C373" s="2" t="s">
        <v>24</v>
      </c>
      <c r="D373" s="2" t="s">
        <v>31</v>
      </c>
      <c r="E373" s="2" t="s">
        <v>21</v>
      </c>
      <c r="F373" s="4">
        <v>23.8</v>
      </c>
      <c r="G373" s="4">
        <v>3820</v>
      </c>
      <c r="H373" s="2" t="s">
        <v>36</v>
      </c>
      <c r="I373" s="2" t="s">
        <v>23</v>
      </c>
      <c r="J373" s="3">
        <v>120</v>
      </c>
      <c r="K373" s="5">
        <v>1.05</v>
      </c>
      <c r="L373" s="4">
        <v>76.7</v>
      </c>
      <c r="M373" s="4">
        <v>2770.9</v>
      </c>
      <c r="N373" s="4">
        <v>31</v>
      </c>
      <c r="O373" s="4">
        <v>8.5</v>
      </c>
      <c r="P373" s="4">
        <v>806.3</v>
      </c>
      <c r="Q373" s="5">
        <v>0.85</v>
      </c>
    </row>
    <row r="374" spans="1:17">
      <c r="A374" s="3">
        <v>59</v>
      </c>
      <c r="B374" s="2" t="s">
        <v>92</v>
      </c>
      <c r="C374" s="2" t="s">
        <v>24</v>
      </c>
      <c r="D374" s="2" t="s">
        <v>93</v>
      </c>
      <c r="E374" s="2" t="s">
        <v>35</v>
      </c>
      <c r="F374" s="4">
        <v>16</v>
      </c>
      <c r="G374" s="4">
        <v>3797</v>
      </c>
      <c r="H374" s="2" t="s">
        <v>36</v>
      </c>
      <c r="I374" s="2" t="s">
        <v>23</v>
      </c>
      <c r="J374" s="3">
        <v>300</v>
      </c>
      <c r="K374" s="5">
        <v>0.95</v>
      </c>
      <c r="L374" s="4">
        <v>76.8</v>
      </c>
      <c r="M374" s="4">
        <v>2501.3000000000002</v>
      </c>
      <c r="N374" s="4">
        <v>34.4</v>
      </c>
      <c r="O374" s="4">
        <v>10.6</v>
      </c>
      <c r="P374" s="4">
        <v>2018.8</v>
      </c>
      <c r="Q374" s="5">
        <v>1.92</v>
      </c>
    </row>
    <row r="375" spans="1:17">
      <c r="A375" s="3">
        <v>187</v>
      </c>
      <c r="B375" s="2" t="s">
        <v>128</v>
      </c>
      <c r="C375" s="2" t="s">
        <v>33</v>
      </c>
      <c r="D375" s="2" t="s">
        <v>46</v>
      </c>
      <c r="E375" s="2" t="s">
        <v>47</v>
      </c>
      <c r="F375" s="4">
        <v>40.799999999999997</v>
      </c>
      <c r="G375" s="4">
        <v>3737.2</v>
      </c>
      <c r="H375" s="2" t="s">
        <v>36</v>
      </c>
      <c r="I375" s="2" t="s">
        <v>23</v>
      </c>
      <c r="J375" s="3">
        <v>200</v>
      </c>
      <c r="K375" s="5">
        <v>1</v>
      </c>
      <c r="L375" s="4">
        <v>77</v>
      </c>
      <c r="M375" s="4">
        <v>2630.5</v>
      </c>
      <c r="N375" s="4">
        <v>32.700000000000003</v>
      </c>
      <c r="O375" s="4">
        <v>9.1</v>
      </c>
      <c r="P375" s="4">
        <v>1348.5</v>
      </c>
      <c r="Q375" s="5">
        <v>1.35</v>
      </c>
    </row>
    <row r="376" spans="1:17">
      <c r="A376" s="3">
        <v>385</v>
      </c>
      <c r="B376" s="2" t="s">
        <v>246</v>
      </c>
      <c r="C376" s="2" t="s">
        <v>19</v>
      </c>
      <c r="D376" s="2" t="s">
        <v>247</v>
      </c>
      <c r="E376" s="2" t="s">
        <v>47</v>
      </c>
      <c r="F376" s="4">
        <v>4.5999999999999996</v>
      </c>
      <c r="G376" s="4">
        <v>2640</v>
      </c>
      <c r="H376" s="2" t="s">
        <v>43</v>
      </c>
      <c r="I376" s="2" t="s">
        <v>238</v>
      </c>
      <c r="J376" s="3">
        <v>500</v>
      </c>
      <c r="K376" s="5">
        <v>1.18</v>
      </c>
      <c r="L376" s="4">
        <v>77.400000000000006</v>
      </c>
      <c r="M376" s="4">
        <v>2798.3</v>
      </c>
      <c r="N376" s="4">
        <v>30.7</v>
      </c>
      <c r="O376" s="4">
        <v>6.1</v>
      </c>
      <c r="P376" s="4">
        <v>3388.9</v>
      </c>
      <c r="Q376" s="5">
        <v>4</v>
      </c>
    </row>
    <row r="377" spans="1:17">
      <c r="A377" s="3">
        <v>118</v>
      </c>
      <c r="B377" s="2" t="s">
        <v>112</v>
      </c>
      <c r="C377" s="2" t="s">
        <v>19</v>
      </c>
      <c r="D377" s="2" t="s">
        <v>46</v>
      </c>
      <c r="E377" s="2" t="s">
        <v>47</v>
      </c>
      <c r="F377" s="4">
        <v>36.4</v>
      </c>
      <c r="G377" s="4">
        <v>3932.8</v>
      </c>
      <c r="H377" s="2" t="s">
        <v>36</v>
      </c>
      <c r="I377" s="2" t="s">
        <v>23</v>
      </c>
      <c r="J377" s="3">
        <v>500</v>
      </c>
      <c r="K377" s="5">
        <v>0.97</v>
      </c>
      <c r="L377" s="4">
        <v>77.5</v>
      </c>
      <c r="M377" s="4">
        <v>2564.6999999999998</v>
      </c>
      <c r="N377" s="4">
        <v>33.5</v>
      </c>
      <c r="O377" s="4">
        <v>8.1999999999999993</v>
      </c>
      <c r="P377" s="4">
        <v>3392.8</v>
      </c>
      <c r="Q377" s="5">
        <v>3.31</v>
      </c>
    </row>
    <row r="378" spans="1:17">
      <c r="A378" s="3">
        <v>26</v>
      </c>
      <c r="B378" s="2" t="s">
        <v>61</v>
      </c>
      <c r="C378" s="2" t="s">
        <v>19</v>
      </c>
      <c r="D378" s="2" t="s">
        <v>62</v>
      </c>
      <c r="E378" s="2" t="s">
        <v>21</v>
      </c>
      <c r="F378" s="4">
        <v>12.7</v>
      </c>
      <c r="G378" s="4">
        <v>3661</v>
      </c>
      <c r="H378" s="2" t="s">
        <v>36</v>
      </c>
      <c r="I378" s="2" t="s">
        <v>23</v>
      </c>
      <c r="J378" s="3">
        <v>600</v>
      </c>
      <c r="K378" s="5">
        <v>0.93</v>
      </c>
      <c r="L378" s="4">
        <v>77.599999999999994</v>
      </c>
      <c r="M378" s="4">
        <v>2454.8000000000002</v>
      </c>
      <c r="N378" s="4">
        <v>35</v>
      </c>
      <c r="O378" s="4">
        <v>5.2</v>
      </c>
      <c r="P378" s="4">
        <v>4080.8</v>
      </c>
      <c r="Q378" s="5">
        <v>3.8</v>
      </c>
    </row>
    <row r="379" spans="1:17">
      <c r="A379" s="3">
        <v>166</v>
      </c>
      <c r="B379" s="2" t="s">
        <v>67</v>
      </c>
      <c r="C379" s="2" t="s">
        <v>33</v>
      </c>
      <c r="D379" s="2" t="s">
        <v>46</v>
      </c>
      <c r="E379" s="2" t="s">
        <v>47</v>
      </c>
      <c r="F379" s="4">
        <v>34.6</v>
      </c>
      <c r="G379" s="4">
        <v>3684.3</v>
      </c>
      <c r="H379" s="2" t="s">
        <v>36</v>
      </c>
      <c r="I379" s="2" t="s">
        <v>23</v>
      </c>
      <c r="J379" s="3">
        <v>210</v>
      </c>
      <c r="K379" s="5">
        <v>0.99</v>
      </c>
      <c r="L379" s="4">
        <v>77.599999999999994</v>
      </c>
      <c r="M379" s="4">
        <v>2618.6</v>
      </c>
      <c r="N379" s="4">
        <v>32.799999999999997</v>
      </c>
      <c r="O379" s="4">
        <v>8.5</v>
      </c>
      <c r="P379" s="4">
        <v>1428.1</v>
      </c>
      <c r="Q379" s="5">
        <v>1.42</v>
      </c>
    </row>
    <row r="380" spans="1:17">
      <c r="A380" s="3">
        <v>78</v>
      </c>
      <c r="B380" s="2" t="s">
        <v>104</v>
      </c>
      <c r="C380" s="2" t="s">
        <v>19</v>
      </c>
      <c r="D380" s="2" t="s">
        <v>105</v>
      </c>
      <c r="E380" s="2" t="s">
        <v>21</v>
      </c>
      <c r="F380" s="4">
        <v>11.5</v>
      </c>
      <c r="G380" s="4">
        <v>3665.6</v>
      </c>
      <c r="H380" s="2" t="s">
        <v>36</v>
      </c>
      <c r="I380" s="2" t="s">
        <v>23</v>
      </c>
      <c r="J380" s="3">
        <v>300</v>
      </c>
      <c r="K380" s="5">
        <v>0.96</v>
      </c>
      <c r="L380" s="4">
        <v>77.7</v>
      </c>
      <c r="M380" s="4">
        <v>2531.6</v>
      </c>
      <c r="N380" s="4">
        <v>34</v>
      </c>
      <c r="O380" s="4">
        <v>7.4</v>
      </c>
      <c r="P380" s="4">
        <v>2042.8</v>
      </c>
      <c r="Q380" s="5">
        <v>1.96</v>
      </c>
    </row>
    <row r="381" spans="1:17">
      <c r="A381" s="3">
        <v>58</v>
      </c>
      <c r="B381" s="2" t="s">
        <v>92</v>
      </c>
      <c r="C381" s="2" t="s">
        <v>19</v>
      </c>
      <c r="D381" s="2" t="s">
        <v>93</v>
      </c>
      <c r="E381" s="2" t="s">
        <v>35</v>
      </c>
      <c r="F381" s="4">
        <v>16.600000000000001</v>
      </c>
      <c r="G381" s="4">
        <v>3797</v>
      </c>
      <c r="H381" s="2" t="s">
        <v>36</v>
      </c>
      <c r="I381" s="2" t="s">
        <v>23</v>
      </c>
      <c r="J381" s="3">
        <v>300</v>
      </c>
      <c r="K381" s="5">
        <v>0.95</v>
      </c>
      <c r="L381" s="4">
        <v>78.099999999999994</v>
      </c>
      <c r="M381" s="4">
        <v>2501.3000000000002</v>
      </c>
      <c r="N381" s="4">
        <v>34.4</v>
      </c>
      <c r="O381" s="4">
        <v>10.6</v>
      </c>
      <c r="P381" s="4">
        <v>2052.9</v>
      </c>
      <c r="Q381" s="5">
        <v>1.95</v>
      </c>
    </row>
    <row r="382" spans="1:17">
      <c r="A382" s="3">
        <v>193</v>
      </c>
      <c r="B382" s="2" t="s">
        <v>153</v>
      </c>
      <c r="C382" s="2" t="s">
        <v>41</v>
      </c>
      <c r="D382" s="2" t="s">
        <v>154</v>
      </c>
      <c r="E382" s="2" t="s">
        <v>21</v>
      </c>
      <c r="F382" s="4">
        <v>45.8</v>
      </c>
      <c r="G382" s="4">
        <v>4631.7</v>
      </c>
      <c r="H382" s="2" t="s">
        <v>99</v>
      </c>
      <c r="I382" s="2" t="s">
        <v>23</v>
      </c>
      <c r="J382" s="3">
        <v>120</v>
      </c>
      <c r="K382" s="5">
        <v>1</v>
      </c>
      <c r="L382" s="4">
        <v>78.099999999999994</v>
      </c>
      <c r="M382" s="4">
        <v>2674.1</v>
      </c>
      <c r="N382" s="4">
        <v>32.200000000000003</v>
      </c>
      <c r="O382" s="4">
        <v>8.6</v>
      </c>
      <c r="P382" s="4">
        <v>821</v>
      </c>
      <c r="Q382" s="5">
        <v>0.82</v>
      </c>
    </row>
    <row r="383" spans="1:17">
      <c r="A383" s="3">
        <v>221</v>
      </c>
      <c r="B383" s="2" t="s">
        <v>178</v>
      </c>
      <c r="C383" s="2" t="s">
        <v>19</v>
      </c>
      <c r="D383" s="2" t="s">
        <v>144</v>
      </c>
      <c r="E383" s="2" t="s">
        <v>35</v>
      </c>
      <c r="F383" s="4">
        <v>37.6</v>
      </c>
      <c r="G383" s="4">
        <v>3063</v>
      </c>
      <c r="H383" s="2" t="s">
        <v>39</v>
      </c>
      <c r="I383" s="2" t="s">
        <v>23</v>
      </c>
      <c r="J383" s="3">
        <v>210</v>
      </c>
      <c r="K383" s="5">
        <v>1.03</v>
      </c>
      <c r="L383" s="4">
        <v>78.099999999999994</v>
      </c>
      <c r="M383" s="4">
        <v>2704.7</v>
      </c>
      <c r="N383" s="4">
        <v>31.8</v>
      </c>
      <c r="O383" s="4">
        <v>8.6</v>
      </c>
      <c r="P383" s="4">
        <v>1437.3</v>
      </c>
      <c r="Q383" s="5">
        <v>1.48</v>
      </c>
    </row>
    <row r="384" spans="1:17">
      <c r="A384" s="3">
        <v>156</v>
      </c>
      <c r="B384" s="2" t="s">
        <v>147</v>
      </c>
      <c r="C384" s="2" t="s">
        <v>91</v>
      </c>
      <c r="D384" s="2" t="s">
        <v>126</v>
      </c>
      <c r="E384" s="2" t="s">
        <v>35</v>
      </c>
      <c r="F384" s="4">
        <v>11.4</v>
      </c>
      <c r="G384" s="4">
        <v>3924</v>
      </c>
      <c r="H384" s="2" t="s">
        <v>36</v>
      </c>
      <c r="I384" s="2" t="s">
        <v>23</v>
      </c>
      <c r="J384" s="3">
        <v>250</v>
      </c>
      <c r="K384" s="5">
        <v>0.99</v>
      </c>
      <c r="L384" s="4">
        <v>78.2</v>
      </c>
      <c r="M384" s="4">
        <v>2602.6999999999998</v>
      </c>
      <c r="N384" s="4">
        <v>33</v>
      </c>
      <c r="O384" s="4">
        <v>8.1999999999999993</v>
      </c>
      <c r="P384" s="4">
        <v>1713.4</v>
      </c>
      <c r="Q384" s="5">
        <v>1.69</v>
      </c>
    </row>
    <row r="385" spans="1:17">
      <c r="A385" s="3">
        <v>82</v>
      </c>
      <c r="B385" s="2" t="s">
        <v>106</v>
      </c>
      <c r="C385" s="2" t="s">
        <v>24</v>
      </c>
      <c r="D385" s="2" t="s">
        <v>107</v>
      </c>
      <c r="E385" s="2" t="s">
        <v>47</v>
      </c>
      <c r="F385" s="4">
        <v>10.9</v>
      </c>
      <c r="G385" s="4">
        <v>3159.6</v>
      </c>
      <c r="H385" s="2" t="s">
        <v>39</v>
      </c>
      <c r="I385" s="2" t="s">
        <v>23</v>
      </c>
      <c r="J385" s="3">
        <v>500</v>
      </c>
      <c r="K385" s="5">
        <v>0.96</v>
      </c>
      <c r="L385" s="4">
        <v>78.3</v>
      </c>
      <c r="M385" s="4">
        <v>2530.3000000000002</v>
      </c>
      <c r="N385" s="4">
        <v>34</v>
      </c>
      <c r="O385" s="4">
        <v>4.9000000000000004</v>
      </c>
      <c r="P385" s="4">
        <v>3428</v>
      </c>
      <c r="Q385" s="5">
        <v>3.3</v>
      </c>
    </row>
    <row r="386" spans="1:17">
      <c r="A386" s="3">
        <v>95</v>
      </c>
      <c r="B386" s="2" t="s">
        <v>112</v>
      </c>
      <c r="C386" s="2" t="s">
        <v>51</v>
      </c>
      <c r="D386" s="2" t="s">
        <v>46</v>
      </c>
      <c r="E386" s="2" t="s">
        <v>47</v>
      </c>
      <c r="F386" s="4">
        <v>10.8</v>
      </c>
      <c r="G386" s="4">
        <v>3980.6</v>
      </c>
      <c r="H386" s="2" t="s">
        <v>36</v>
      </c>
      <c r="I386" s="2" t="s">
        <v>23</v>
      </c>
      <c r="J386" s="3">
        <v>500</v>
      </c>
      <c r="K386" s="5">
        <v>0.97</v>
      </c>
      <c r="L386" s="4">
        <v>78.3</v>
      </c>
      <c r="M386" s="4">
        <v>2544.5</v>
      </c>
      <c r="N386" s="4">
        <v>33.799999999999997</v>
      </c>
      <c r="O386" s="4">
        <v>5.2</v>
      </c>
      <c r="P386" s="4">
        <v>3429.1</v>
      </c>
      <c r="Q386" s="5">
        <v>3.31</v>
      </c>
    </row>
    <row r="387" spans="1:17">
      <c r="A387" s="3">
        <v>57</v>
      </c>
      <c r="B387" s="2" t="s">
        <v>67</v>
      </c>
      <c r="C387" s="2" t="s">
        <v>91</v>
      </c>
      <c r="D387" s="2" t="s">
        <v>46</v>
      </c>
      <c r="E387" s="2" t="s">
        <v>47</v>
      </c>
      <c r="F387" s="4">
        <v>17.399999999999999</v>
      </c>
      <c r="G387" s="4">
        <v>3707.1</v>
      </c>
      <c r="H387" s="2" t="s">
        <v>36</v>
      </c>
      <c r="I387" s="2" t="s">
        <v>23</v>
      </c>
      <c r="J387" s="3">
        <v>500</v>
      </c>
      <c r="K387" s="5">
        <v>0.95</v>
      </c>
      <c r="L387" s="4">
        <v>78.400000000000006</v>
      </c>
      <c r="M387" s="4">
        <v>2500.8000000000002</v>
      </c>
      <c r="N387" s="4">
        <v>34.4</v>
      </c>
      <c r="O387" s="4">
        <v>5.6</v>
      </c>
      <c r="P387" s="4">
        <v>3433.4</v>
      </c>
      <c r="Q387" s="5">
        <v>3.26</v>
      </c>
    </row>
    <row r="388" spans="1:17">
      <c r="A388" s="3">
        <v>128</v>
      </c>
      <c r="B388" s="2" t="s">
        <v>128</v>
      </c>
      <c r="C388" s="2" t="s">
        <v>51</v>
      </c>
      <c r="D388" s="2" t="s">
        <v>46</v>
      </c>
      <c r="E388" s="2" t="s">
        <v>47</v>
      </c>
      <c r="F388" s="4">
        <v>37.6</v>
      </c>
      <c r="G388" s="4">
        <v>3775.5</v>
      </c>
      <c r="H388" s="2" t="s">
        <v>36</v>
      </c>
      <c r="I388" s="2" t="s">
        <v>23</v>
      </c>
      <c r="J388" s="3">
        <v>500</v>
      </c>
      <c r="K388" s="5">
        <v>0.98</v>
      </c>
      <c r="L388" s="4">
        <v>78.400000000000006</v>
      </c>
      <c r="M388" s="4">
        <v>2577.8000000000002</v>
      </c>
      <c r="N388" s="4">
        <v>33.4</v>
      </c>
      <c r="O388" s="4">
        <v>6.7</v>
      </c>
      <c r="P388" s="4">
        <v>3433.5</v>
      </c>
      <c r="Q388" s="5">
        <v>3.36</v>
      </c>
    </row>
    <row r="389" spans="1:17">
      <c r="A389" s="3">
        <v>195</v>
      </c>
      <c r="B389" s="2" t="s">
        <v>160</v>
      </c>
      <c r="C389" s="2" t="s">
        <v>51</v>
      </c>
      <c r="D389" s="2" t="s">
        <v>93</v>
      </c>
      <c r="E389" s="2" t="s">
        <v>35</v>
      </c>
      <c r="F389" s="4">
        <v>13.1</v>
      </c>
      <c r="G389" s="4">
        <v>3402.2</v>
      </c>
      <c r="H389" s="2" t="s">
        <v>39</v>
      </c>
      <c r="I389" s="2" t="s">
        <v>23</v>
      </c>
      <c r="J389" s="3">
        <v>250</v>
      </c>
      <c r="K389" s="5">
        <v>1.01</v>
      </c>
      <c r="L389" s="4">
        <v>78.400000000000006</v>
      </c>
      <c r="M389" s="4">
        <v>2649.8</v>
      </c>
      <c r="N389" s="4">
        <v>32.4</v>
      </c>
      <c r="O389" s="4">
        <v>8.1</v>
      </c>
      <c r="P389" s="4">
        <v>1717.7</v>
      </c>
      <c r="Q389" s="5">
        <v>1.73</v>
      </c>
    </row>
    <row r="390" spans="1:17">
      <c r="A390" s="3">
        <v>9</v>
      </c>
      <c r="B390" s="2" t="s">
        <v>32</v>
      </c>
      <c r="C390" s="2" t="s">
        <v>33</v>
      </c>
      <c r="D390" s="2" t="s">
        <v>34</v>
      </c>
      <c r="E390" s="2" t="s">
        <v>35</v>
      </c>
      <c r="F390" s="4">
        <v>13.1</v>
      </c>
      <c r="G390" s="4">
        <v>3774</v>
      </c>
      <c r="H390" s="2" t="s">
        <v>36</v>
      </c>
      <c r="I390" s="2" t="s">
        <v>23</v>
      </c>
      <c r="J390" s="3">
        <v>500</v>
      </c>
      <c r="K390" s="5">
        <v>0.91</v>
      </c>
      <c r="L390" s="4">
        <v>78.8</v>
      </c>
      <c r="M390" s="4">
        <v>2404</v>
      </c>
      <c r="N390" s="4">
        <v>35.799999999999997</v>
      </c>
      <c r="O390" s="4">
        <v>5.2</v>
      </c>
      <c r="P390" s="4">
        <v>3452.2</v>
      </c>
      <c r="Q390" s="5">
        <v>3.15</v>
      </c>
    </row>
    <row r="391" spans="1:17">
      <c r="A391" s="3">
        <v>13</v>
      </c>
      <c r="B391" s="2" t="s">
        <v>44</v>
      </c>
      <c r="C391" s="2" t="s">
        <v>45</v>
      </c>
      <c r="D391" s="2" t="s">
        <v>46</v>
      </c>
      <c r="E391" s="2" t="s">
        <v>47</v>
      </c>
      <c r="F391" s="4">
        <v>13.6</v>
      </c>
      <c r="G391" s="4">
        <v>3374</v>
      </c>
      <c r="H391" s="2" t="s">
        <v>39</v>
      </c>
      <c r="I391" s="2" t="s">
        <v>23</v>
      </c>
      <c r="J391" s="3">
        <v>500</v>
      </c>
      <c r="K391" s="5">
        <v>0.92</v>
      </c>
      <c r="L391" s="4">
        <v>78.900000000000006</v>
      </c>
      <c r="M391" s="4">
        <v>2427.6999999999998</v>
      </c>
      <c r="N391" s="4">
        <v>35.4</v>
      </c>
      <c r="O391" s="4">
        <v>5.2</v>
      </c>
      <c r="P391" s="4">
        <v>3455.1</v>
      </c>
      <c r="Q391" s="5">
        <v>3.18</v>
      </c>
    </row>
    <row r="392" spans="1:17">
      <c r="A392" s="3">
        <v>262</v>
      </c>
      <c r="B392" s="2" t="s">
        <v>199</v>
      </c>
      <c r="C392" s="2" t="s">
        <v>41</v>
      </c>
      <c r="D392" s="2" t="s">
        <v>31</v>
      </c>
      <c r="E392" s="2" t="s">
        <v>21</v>
      </c>
      <c r="F392" s="4">
        <v>22.9</v>
      </c>
      <c r="G392" s="4">
        <v>3797</v>
      </c>
      <c r="H392" s="2" t="s">
        <v>36</v>
      </c>
      <c r="I392" s="2" t="s">
        <v>23</v>
      </c>
      <c r="J392" s="3">
        <v>120</v>
      </c>
      <c r="K392" s="5">
        <v>1.05</v>
      </c>
      <c r="L392" s="4">
        <v>78.900000000000006</v>
      </c>
      <c r="M392" s="4">
        <v>2770.4</v>
      </c>
      <c r="N392" s="4">
        <v>31</v>
      </c>
      <c r="O392" s="4">
        <v>8.6</v>
      </c>
      <c r="P392" s="4">
        <v>829</v>
      </c>
      <c r="Q392" s="5">
        <v>0.87</v>
      </c>
    </row>
    <row r="393" spans="1:17">
      <c r="A393" s="3">
        <v>29</v>
      </c>
      <c r="B393" s="2" t="s">
        <v>64</v>
      </c>
      <c r="C393" s="2" t="s">
        <v>24</v>
      </c>
      <c r="D393" s="2" t="s">
        <v>34</v>
      </c>
      <c r="E393" s="2" t="s">
        <v>35</v>
      </c>
      <c r="F393" s="4">
        <v>8.6</v>
      </c>
      <c r="G393" s="4">
        <v>3992</v>
      </c>
      <c r="H393" s="2" t="s">
        <v>36</v>
      </c>
      <c r="I393" s="2" t="s">
        <v>23</v>
      </c>
      <c r="J393" s="3">
        <v>600</v>
      </c>
      <c r="K393" s="5">
        <v>0.94</v>
      </c>
      <c r="L393" s="4">
        <v>79.3</v>
      </c>
      <c r="M393" s="4">
        <v>2462.6999999999998</v>
      </c>
      <c r="N393" s="4">
        <v>34.9</v>
      </c>
      <c r="O393" s="4">
        <v>5.4</v>
      </c>
      <c r="P393" s="4">
        <v>4166</v>
      </c>
      <c r="Q393" s="5">
        <v>3.9</v>
      </c>
    </row>
    <row r="394" spans="1:17">
      <c r="A394" s="3">
        <v>70</v>
      </c>
      <c r="B394" s="2" t="s">
        <v>67</v>
      </c>
      <c r="C394" s="2" t="s">
        <v>57</v>
      </c>
      <c r="D394" s="2" t="s">
        <v>46</v>
      </c>
      <c r="E394" s="2" t="s">
        <v>47</v>
      </c>
      <c r="F394" s="4">
        <v>24.4</v>
      </c>
      <c r="G394" s="4">
        <v>3705.2</v>
      </c>
      <c r="H394" s="2" t="s">
        <v>36</v>
      </c>
      <c r="I394" s="2" t="s">
        <v>23</v>
      </c>
      <c r="J394" s="3">
        <v>500</v>
      </c>
      <c r="K394" s="5">
        <v>0.95</v>
      </c>
      <c r="L394" s="4">
        <v>79.3</v>
      </c>
      <c r="M394" s="4">
        <v>2511.9</v>
      </c>
      <c r="N394" s="4">
        <v>34.200000000000003</v>
      </c>
      <c r="O394" s="4">
        <v>6.1</v>
      </c>
      <c r="P394" s="4">
        <v>3473.6</v>
      </c>
      <c r="Q394" s="5">
        <v>3.31</v>
      </c>
    </row>
    <row r="395" spans="1:17">
      <c r="A395" s="3">
        <v>73</v>
      </c>
      <c r="B395" s="2" t="s">
        <v>96</v>
      </c>
      <c r="C395" s="2" t="s">
        <v>51</v>
      </c>
      <c r="D395" s="2" t="s">
        <v>46</v>
      </c>
      <c r="E395" s="2" t="s">
        <v>47</v>
      </c>
      <c r="F395" s="4">
        <v>19.5</v>
      </c>
      <c r="G395" s="4">
        <v>3361.8</v>
      </c>
      <c r="H395" s="2" t="s">
        <v>39</v>
      </c>
      <c r="I395" s="2" t="s">
        <v>23</v>
      </c>
      <c r="J395" s="3">
        <v>500</v>
      </c>
      <c r="K395" s="5">
        <v>0.96</v>
      </c>
      <c r="L395" s="4">
        <v>79.400000000000006</v>
      </c>
      <c r="M395" s="4">
        <v>2520</v>
      </c>
      <c r="N395" s="4">
        <v>34.1</v>
      </c>
      <c r="O395" s="4">
        <v>5.5</v>
      </c>
      <c r="P395" s="4">
        <v>3479.2</v>
      </c>
      <c r="Q395" s="5">
        <v>3.32</v>
      </c>
    </row>
    <row r="396" spans="1:17">
      <c r="A396" s="3">
        <v>108</v>
      </c>
      <c r="B396" s="2" t="s">
        <v>77</v>
      </c>
      <c r="C396" s="2" t="s">
        <v>24</v>
      </c>
      <c r="D396" s="2" t="s">
        <v>79</v>
      </c>
      <c r="E396" s="2" t="s">
        <v>21</v>
      </c>
      <c r="F396" s="4">
        <v>10.5</v>
      </c>
      <c r="G396" s="4">
        <v>3654.2</v>
      </c>
      <c r="H396" s="2" t="s">
        <v>36</v>
      </c>
      <c r="I396" s="2" t="s">
        <v>23</v>
      </c>
      <c r="J396" s="3">
        <v>270</v>
      </c>
      <c r="K396" s="5">
        <v>0.97</v>
      </c>
      <c r="L396" s="4">
        <v>79.599999999999994</v>
      </c>
      <c r="M396" s="4">
        <v>2556.4</v>
      </c>
      <c r="N396" s="4">
        <v>33.6</v>
      </c>
      <c r="O396" s="4">
        <v>7.7</v>
      </c>
      <c r="P396" s="4">
        <v>1882</v>
      </c>
      <c r="Q396" s="5">
        <v>1.83</v>
      </c>
    </row>
    <row r="397" spans="1:17">
      <c r="A397" s="3">
        <v>28</v>
      </c>
      <c r="B397" s="2" t="s">
        <v>54</v>
      </c>
      <c r="C397" s="2" t="s">
        <v>24</v>
      </c>
      <c r="D397" s="2" t="s">
        <v>55</v>
      </c>
      <c r="E397" s="2" t="s">
        <v>35</v>
      </c>
      <c r="F397" s="4">
        <v>7.7</v>
      </c>
      <c r="G397" s="4">
        <v>3997</v>
      </c>
      <c r="H397" s="2" t="s">
        <v>36</v>
      </c>
      <c r="I397" s="2" t="s">
        <v>23</v>
      </c>
      <c r="J397" s="3">
        <v>600</v>
      </c>
      <c r="K397" s="5">
        <v>0.93</v>
      </c>
      <c r="L397" s="4">
        <v>79.7</v>
      </c>
      <c r="M397" s="4">
        <v>2458.1999999999998</v>
      </c>
      <c r="N397" s="4">
        <v>35</v>
      </c>
      <c r="O397" s="4">
        <v>5.9</v>
      </c>
      <c r="P397" s="4">
        <v>4187</v>
      </c>
      <c r="Q397" s="5">
        <v>3.91</v>
      </c>
    </row>
    <row r="398" spans="1:17">
      <c r="A398" s="3">
        <v>308</v>
      </c>
      <c r="B398" s="2" t="s">
        <v>139</v>
      </c>
      <c r="C398" s="2" t="s">
        <v>41</v>
      </c>
      <c r="D398" s="2" t="s">
        <v>93</v>
      </c>
      <c r="E398" s="2" t="s">
        <v>35</v>
      </c>
      <c r="F398" s="4">
        <v>23.4</v>
      </c>
      <c r="G398" s="4">
        <v>4253</v>
      </c>
      <c r="H398" s="2" t="s">
        <v>29</v>
      </c>
      <c r="I398" s="2" t="s">
        <v>23</v>
      </c>
      <c r="J398" s="3">
        <v>210</v>
      </c>
      <c r="K398" s="5">
        <v>1.08</v>
      </c>
      <c r="L398" s="4">
        <v>79.7</v>
      </c>
      <c r="M398" s="4">
        <v>2849.8</v>
      </c>
      <c r="N398" s="4">
        <v>30.2</v>
      </c>
      <c r="O398" s="4">
        <v>8.5</v>
      </c>
      <c r="P398" s="4">
        <v>1467</v>
      </c>
      <c r="Q398" s="5">
        <v>1.59</v>
      </c>
    </row>
    <row r="399" spans="1:17">
      <c r="A399" s="3">
        <v>174</v>
      </c>
      <c r="B399" s="2" t="s">
        <v>156</v>
      </c>
      <c r="C399" s="2" t="s">
        <v>33</v>
      </c>
      <c r="D399" s="2" t="s">
        <v>157</v>
      </c>
      <c r="E399" s="2" t="s">
        <v>47</v>
      </c>
      <c r="F399" s="4">
        <v>2.7</v>
      </c>
      <c r="G399" s="4">
        <v>3435</v>
      </c>
      <c r="H399" s="2" t="s">
        <v>39</v>
      </c>
      <c r="I399" s="2" t="s">
        <v>23</v>
      </c>
      <c r="J399" s="3">
        <v>250</v>
      </c>
      <c r="K399" s="5">
        <v>1</v>
      </c>
      <c r="L399" s="4">
        <v>80.3</v>
      </c>
      <c r="M399" s="4">
        <v>2626.3</v>
      </c>
      <c r="N399" s="4">
        <v>32.700000000000003</v>
      </c>
      <c r="O399" s="4">
        <v>7.7</v>
      </c>
      <c r="P399" s="4">
        <v>1758.6</v>
      </c>
      <c r="Q399" s="5">
        <v>1.75</v>
      </c>
    </row>
    <row r="400" spans="1:17">
      <c r="A400" s="3">
        <v>56</v>
      </c>
      <c r="B400" s="2" t="s">
        <v>90</v>
      </c>
      <c r="C400" s="2" t="s">
        <v>45</v>
      </c>
      <c r="D400" s="2" t="s">
        <v>46</v>
      </c>
      <c r="E400" s="2" t="s">
        <v>47</v>
      </c>
      <c r="F400" s="4">
        <v>15.1</v>
      </c>
      <c r="G400" s="4">
        <v>3494.5</v>
      </c>
      <c r="H400" s="2" t="s">
        <v>39</v>
      </c>
      <c r="I400" s="2" t="s">
        <v>23</v>
      </c>
      <c r="J400" s="3">
        <v>500</v>
      </c>
      <c r="K400" s="5">
        <v>0.95</v>
      </c>
      <c r="L400" s="4">
        <v>80.400000000000006</v>
      </c>
      <c r="M400" s="4">
        <v>2509.1</v>
      </c>
      <c r="N400" s="4">
        <v>34.299999999999997</v>
      </c>
      <c r="O400" s="4">
        <v>5.4</v>
      </c>
      <c r="P400" s="4">
        <v>3522.5</v>
      </c>
      <c r="Q400" s="5">
        <v>3.34</v>
      </c>
    </row>
    <row r="401" spans="1:17">
      <c r="A401" s="3">
        <v>125</v>
      </c>
      <c r="B401" s="2" t="s">
        <v>127</v>
      </c>
      <c r="C401" s="2" t="s">
        <v>19</v>
      </c>
      <c r="D401" s="2" t="s">
        <v>116</v>
      </c>
      <c r="E401" s="2" t="s">
        <v>47</v>
      </c>
      <c r="F401" s="4">
        <v>13.9</v>
      </c>
      <c r="G401" s="4">
        <v>3603.2</v>
      </c>
      <c r="H401" s="2" t="s">
        <v>36</v>
      </c>
      <c r="I401" s="2" t="s">
        <v>23</v>
      </c>
      <c r="J401" s="3">
        <v>500</v>
      </c>
      <c r="K401" s="5">
        <v>0.98</v>
      </c>
      <c r="L401" s="4">
        <v>80.5</v>
      </c>
      <c r="M401" s="4">
        <v>2592.6</v>
      </c>
      <c r="N401" s="4">
        <v>33.200000000000003</v>
      </c>
      <c r="O401" s="4">
        <v>5.4</v>
      </c>
      <c r="P401" s="4">
        <v>3526.3</v>
      </c>
      <c r="Q401" s="5">
        <v>3.45</v>
      </c>
    </row>
    <row r="402" spans="1:17">
      <c r="A402" s="3">
        <v>88</v>
      </c>
      <c r="B402" s="2" t="s">
        <v>96</v>
      </c>
      <c r="C402" s="2" t="s">
        <v>78</v>
      </c>
      <c r="D402" s="2" t="s">
        <v>46</v>
      </c>
      <c r="E402" s="2" t="s">
        <v>47</v>
      </c>
      <c r="F402" s="4">
        <v>20.2</v>
      </c>
      <c r="G402" s="4">
        <v>3377.6</v>
      </c>
      <c r="H402" s="2" t="s">
        <v>39</v>
      </c>
      <c r="I402" s="2" t="s">
        <v>23</v>
      </c>
      <c r="J402" s="3">
        <v>500</v>
      </c>
      <c r="K402" s="5">
        <v>0.96</v>
      </c>
      <c r="L402" s="4">
        <v>80.8</v>
      </c>
      <c r="M402" s="4">
        <v>2540.6999999999998</v>
      </c>
      <c r="N402" s="4">
        <v>33.799999999999997</v>
      </c>
      <c r="O402" s="4">
        <v>5.6</v>
      </c>
      <c r="P402" s="4">
        <v>3538.1</v>
      </c>
      <c r="Q402" s="5">
        <v>3.41</v>
      </c>
    </row>
    <row r="403" spans="1:17">
      <c r="A403" s="3">
        <v>137</v>
      </c>
      <c r="B403" s="2" t="s">
        <v>44</v>
      </c>
      <c r="C403" s="2" t="s">
        <v>19</v>
      </c>
      <c r="D403" s="2" t="s">
        <v>46</v>
      </c>
      <c r="E403" s="2" t="s">
        <v>47</v>
      </c>
      <c r="F403" s="4">
        <v>41.4</v>
      </c>
      <c r="G403" s="4">
        <v>3439</v>
      </c>
      <c r="H403" s="2" t="s">
        <v>39</v>
      </c>
      <c r="I403" s="2" t="s">
        <v>23</v>
      </c>
      <c r="J403" s="3">
        <v>200</v>
      </c>
      <c r="K403" s="5">
        <v>0.98</v>
      </c>
      <c r="L403" s="4">
        <v>80.8</v>
      </c>
      <c r="M403" s="4">
        <v>2581.6</v>
      </c>
      <c r="N403" s="4">
        <v>33.299999999999997</v>
      </c>
      <c r="O403" s="4">
        <v>8.6</v>
      </c>
      <c r="P403" s="4">
        <v>1416.4</v>
      </c>
      <c r="Q403" s="5">
        <v>1.39</v>
      </c>
    </row>
    <row r="404" spans="1:17">
      <c r="A404" s="3">
        <v>74</v>
      </c>
      <c r="B404" s="2" t="s">
        <v>102</v>
      </c>
      <c r="C404" s="2" t="s">
        <v>19</v>
      </c>
      <c r="D404" s="2" t="s">
        <v>103</v>
      </c>
      <c r="E404" s="2" t="s">
        <v>21</v>
      </c>
      <c r="F404" s="4">
        <v>10.199999999999999</v>
      </c>
      <c r="G404" s="4">
        <v>3379.7</v>
      </c>
      <c r="H404" s="2" t="s">
        <v>39</v>
      </c>
      <c r="I404" s="2" t="s">
        <v>23</v>
      </c>
      <c r="J404" s="3">
        <v>600</v>
      </c>
      <c r="K404" s="5">
        <v>0.96</v>
      </c>
      <c r="L404" s="4">
        <v>80.900000000000006</v>
      </c>
      <c r="M404" s="4">
        <v>2523.1</v>
      </c>
      <c r="N404" s="4">
        <v>34.1</v>
      </c>
      <c r="O404" s="4">
        <v>5.6</v>
      </c>
      <c r="P404" s="4">
        <v>4254.6000000000004</v>
      </c>
      <c r="Q404" s="5">
        <v>4.07</v>
      </c>
    </row>
    <row r="405" spans="1:17">
      <c r="A405" s="3">
        <v>170</v>
      </c>
      <c r="B405" s="2" t="s">
        <v>148</v>
      </c>
      <c r="C405" s="2" t="s">
        <v>57</v>
      </c>
      <c r="D405" s="2" t="s">
        <v>149</v>
      </c>
      <c r="E405" s="2" t="s">
        <v>35</v>
      </c>
      <c r="F405" s="4">
        <v>16.7</v>
      </c>
      <c r="G405" s="4">
        <v>3379</v>
      </c>
      <c r="H405" s="2" t="s">
        <v>39</v>
      </c>
      <c r="I405" s="2" t="s">
        <v>23</v>
      </c>
      <c r="J405" s="3">
        <v>250</v>
      </c>
      <c r="K405" s="5">
        <v>0.99</v>
      </c>
      <c r="L405" s="4">
        <v>81</v>
      </c>
      <c r="M405" s="4">
        <v>2620.6</v>
      </c>
      <c r="N405" s="4">
        <v>32.799999999999997</v>
      </c>
      <c r="O405" s="4">
        <v>7.9</v>
      </c>
      <c r="P405" s="4">
        <v>1774.4</v>
      </c>
      <c r="Q405" s="5">
        <v>1.77</v>
      </c>
    </row>
    <row r="406" spans="1:17">
      <c r="A406" s="3">
        <v>194</v>
      </c>
      <c r="B406" s="2" t="s">
        <v>128</v>
      </c>
      <c r="C406" s="2" t="s">
        <v>78</v>
      </c>
      <c r="D406" s="2" t="s">
        <v>46</v>
      </c>
      <c r="E406" s="2" t="s">
        <v>47</v>
      </c>
      <c r="F406" s="4">
        <v>40.4</v>
      </c>
      <c r="G406" s="4">
        <v>3763</v>
      </c>
      <c r="H406" s="2" t="s">
        <v>36</v>
      </c>
      <c r="I406" s="2" t="s">
        <v>23</v>
      </c>
      <c r="J406" s="3">
        <v>200</v>
      </c>
      <c r="K406" s="5">
        <v>1</v>
      </c>
      <c r="L406" s="4">
        <v>81</v>
      </c>
      <c r="M406" s="4">
        <v>2645.9</v>
      </c>
      <c r="N406" s="4">
        <v>32.5</v>
      </c>
      <c r="O406" s="4">
        <v>9</v>
      </c>
      <c r="P406" s="4">
        <v>1419.7</v>
      </c>
      <c r="Q406" s="5">
        <v>1.43</v>
      </c>
    </row>
    <row r="407" spans="1:17">
      <c r="A407" s="3">
        <v>100</v>
      </c>
      <c r="B407" s="2" t="s">
        <v>117</v>
      </c>
      <c r="C407" s="2" t="s">
        <v>24</v>
      </c>
      <c r="D407" s="2" t="s">
        <v>116</v>
      </c>
      <c r="E407" s="2" t="s">
        <v>47</v>
      </c>
      <c r="F407" s="4">
        <v>12.4</v>
      </c>
      <c r="G407" s="4">
        <v>3758</v>
      </c>
      <c r="H407" s="2" t="s">
        <v>36</v>
      </c>
      <c r="I407" s="2" t="s">
        <v>23</v>
      </c>
      <c r="J407" s="3">
        <v>500</v>
      </c>
      <c r="K407" s="5">
        <v>0.97</v>
      </c>
      <c r="L407" s="4">
        <v>81.3</v>
      </c>
      <c r="M407" s="4">
        <v>2567.4</v>
      </c>
      <c r="N407" s="4">
        <v>33.5</v>
      </c>
      <c r="O407" s="4">
        <v>5.2</v>
      </c>
      <c r="P407" s="4">
        <v>3559.7</v>
      </c>
      <c r="Q407" s="5">
        <v>3.44</v>
      </c>
    </row>
    <row r="408" spans="1:17">
      <c r="A408" s="3">
        <v>62</v>
      </c>
      <c r="B408" s="2" t="s">
        <v>48</v>
      </c>
      <c r="C408" s="2" t="s">
        <v>41</v>
      </c>
      <c r="D408" s="2" t="s">
        <v>49</v>
      </c>
      <c r="E408" s="2" t="s">
        <v>21</v>
      </c>
      <c r="F408" s="4">
        <v>15.1</v>
      </c>
      <c r="G408" s="4">
        <v>3761</v>
      </c>
      <c r="H408" s="2" t="s">
        <v>36</v>
      </c>
      <c r="I408" s="2" t="s">
        <v>23</v>
      </c>
      <c r="J408" s="3">
        <v>250</v>
      </c>
      <c r="K408" s="5">
        <v>0.95</v>
      </c>
      <c r="L408" s="4">
        <v>81.400000000000006</v>
      </c>
      <c r="M408" s="4">
        <v>2502.6</v>
      </c>
      <c r="N408" s="4">
        <v>34.4</v>
      </c>
      <c r="O408" s="4">
        <v>7.9</v>
      </c>
      <c r="P408" s="4">
        <v>1783.4</v>
      </c>
      <c r="Q408" s="5">
        <v>1.69</v>
      </c>
    </row>
    <row r="409" spans="1:17">
      <c r="A409" s="3">
        <v>84</v>
      </c>
      <c r="B409" s="2" t="s">
        <v>109</v>
      </c>
      <c r="C409" s="2" t="s">
        <v>24</v>
      </c>
      <c r="D409" s="2" t="s">
        <v>110</v>
      </c>
      <c r="E409" s="2" t="s">
        <v>21</v>
      </c>
      <c r="F409" s="4">
        <v>10</v>
      </c>
      <c r="G409" s="4">
        <v>3384</v>
      </c>
      <c r="H409" s="2" t="s">
        <v>39</v>
      </c>
      <c r="I409" s="2" t="s">
        <v>23</v>
      </c>
      <c r="J409" s="3">
        <v>300</v>
      </c>
      <c r="K409" s="5">
        <v>0.96</v>
      </c>
      <c r="L409" s="4">
        <v>81.400000000000006</v>
      </c>
      <c r="M409" s="4">
        <v>2538</v>
      </c>
      <c r="N409" s="4">
        <v>33.9</v>
      </c>
      <c r="O409" s="4">
        <v>7.7</v>
      </c>
      <c r="P409" s="4">
        <v>2140.1999999999998</v>
      </c>
      <c r="Q409" s="5">
        <v>2.06</v>
      </c>
    </row>
    <row r="410" spans="1:17">
      <c r="A410" s="3">
        <v>175</v>
      </c>
      <c r="B410" s="2" t="s">
        <v>156</v>
      </c>
      <c r="C410" s="2" t="s">
        <v>19</v>
      </c>
      <c r="D410" s="2" t="s">
        <v>157</v>
      </c>
      <c r="E410" s="2" t="s">
        <v>47</v>
      </c>
      <c r="F410" s="4">
        <v>8.4</v>
      </c>
      <c r="G410" s="4">
        <v>3435</v>
      </c>
      <c r="H410" s="2" t="s">
        <v>39</v>
      </c>
      <c r="I410" s="2" t="s">
        <v>23</v>
      </c>
      <c r="J410" s="3">
        <v>250</v>
      </c>
      <c r="K410" s="5">
        <v>1</v>
      </c>
      <c r="L410" s="4">
        <v>81.400000000000006</v>
      </c>
      <c r="M410" s="4">
        <v>2626.3</v>
      </c>
      <c r="N410" s="4">
        <v>32.700000000000003</v>
      </c>
      <c r="O410" s="4">
        <v>7.7</v>
      </c>
      <c r="P410" s="4">
        <v>1783.4</v>
      </c>
      <c r="Q410" s="5">
        <v>1.78</v>
      </c>
    </row>
    <row r="411" spans="1:17">
      <c r="A411" s="3">
        <v>198</v>
      </c>
      <c r="B411" s="2" t="s">
        <v>168</v>
      </c>
      <c r="C411" s="2" t="s">
        <v>19</v>
      </c>
      <c r="D411" s="2" t="s">
        <v>116</v>
      </c>
      <c r="E411" s="2" t="s">
        <v>47</v>
      </c>
      <c r="F411" s="4">
        <v>13</v>
      </c>
      <c r="G411" s="4">
        <v>4007.1</v>
      </c>
      <c r="H411" s="2" t="s">
        <v>29</v>
      </c>
      <c r="I411" s="2" t="s">
        <v>23</v>
      </c>
      <c r="J411" s="3">
        <v>500</v>
      </c>
      <c r="K411" s="5">
        <v>1.01</v>
      </c>
      <c r="L411" s="4">
        <v>81.400000000000006</v>
      </c>
      <c r="M411" s="4">
        <v>2674</v>
      </c>
      <c r="N411" s="4">
        <v>32.200000000000003</v>
      </c>
      <c r="O411" s="4">
        <v>5.2</v>
      </c>
      <c r="P411" s="4">
        <v>3565</v>
      </c>
      <c r="Q411" s="5">
        <v>3.59</v>
      </c>
    </row>
    <row r="412" spans="1:17">
      <c r="A412" s="3">
        <v>42</v>
      </c>
      <c r="B412" s="2" t="s">
        <v>80</v>
      </c>
      <c r="C412" s="2" t="s">
        <v>24</v>
      </c>
      <c r="D412" s="2" t="s">
        <v>81</v>
      </c>
      <c r="E412" s="2" t="s">
        <v>21</v>
      </c>
      <c r="F412" s="4">
        <v>12</v>
      </c>
      <c r="G412" s="4">
        <v>4074</v>
      </c>
      <c r="H412" s="2" t="s">
        <v>29</v>
      </c>
      <c r="I412" s="2" t="s">
        <v>23</v>
      </c>
      <c r="J412" s="3">
        <v>525</v>
      </c>
      <c r="K412" s="5">
        <v>0.94</v>
      </c>
      <c r="L412" s="4">
        <v>81.7</v>
      </c>
      <c r="M412" s="4">
        <v>2486.1</v>
      </c>
      <c r="N412" s="4">
        <v>34.6</v>
      </c>
      <c r="O412" s="4">
        <v>5.6</v>
      </c>
      <c r="P412" s="4">
        <v>3756.8</v>
      </c>
      <c r="Q412" s="5">
        <v>3.54</v>
      </c>
    </row>
    <row r="413" spans="1:17">
      <c r="A413" s="3">
        <v>143</v>
      </c>
      <c r="B413" s="2" t="s">
        <v>138</v>
      </c>
      <c r="C413" s="2" t="s">
        <v>19</v>
      </c>
      <c r="D413" s="2" t="s">
        <v>116</v>
      </c>
      <c r="E413" s="2" t="s">
        <v>47</v>
      </c>
      <c r="F413" s="4">
        <v>8.4</v>
      </c>
      <c r="G413" s="4">
        <v>4212.3</v>
      </c>
      <c r="H413" s="2" t="s">
        <v>29</v>
      </c>
      <c r="I413" s="2" t="s">
        <v>23</v>
      </c>
      <c r="J413" s="3">
        <v>500</v>
      </c>
      <c r="K413" s="5">
        <v>0.98</v>
      </c>
      <c r="L413" s="4">
        <v>81.7</v>
      </c>
      <c r="M413" s="4">
        <v>2593.9</v>
      </c>
      <c r="N413" s="4">
        <v>33.1</v>
      </c>
      <c r="O413" s="4">
        <v>5.8</v>
      </c>
      <c r="P413" s="4">
        <v>3577.2</v>
      </c>
      <c r="Q413" s="5">
        <v>3.51</v>
      </c>
    </row>
    <row r="414" spans="1:17">
      <c r="A414" s="3">
        <v>165</v>
      </c>
      <c r="B414" s="2" t="s">
        <v>153</v>
      </c>
      <c r="C414" s="2" t="s">
        <v>78</v>
      </c>
      <c r="D414" s="2" t="s">
        <v>154</v>
      </c>
      <c r="E414" s="2" t="s">
        <v>21</v>
      </c>
      <c r="F414" s="4">
        <v>35.9</v>
      </c>
      <c r="G414" s="4">
        <v>4661.5</v>
      </c>
      <c r="H414" s="2" t="s">
        <v>99</v>
      </c>
      <c r="I414" s="2" t="s">
        <v>23</v>
      </c>
      <c r="J414" s="3">
        <v>121</v>
      </c>
      <c r="K414" s="5">
        <v>0.99</v>
      </c>
      <c r="L414" s="4">
        <v>81.7</v>
      </c>
      <c r="M414" s="4">
        <v>2626.8</v>
      </c>
      <c r="N414" s="4">
        <v>32.700000000000003</v>
      </c>
      <c r="O414" s="4">
        <v>8.4</v>
      </c>
      <c r="P414" s="4">
        <v>866</v>
      </c>
      <c r="Q414" s="5">
        <v>0.86</v>
      </c>
    </row>
    <row r="415" spans="1:17">
      <c r="A415" s="3">
        <v>181</v>
      </c>
      <c r="B415" s="2" t="s">
        <v>67</v>
      </c>
      <c r="C415" s="2" t="s">
        <v>78</v>
      </c>
      <c r="D415" s="2" t="s">
        <v>46</v>
      </c>
      <c r="E415" s="2" t="s">
        <v>47</v>
      </c>
      <c r="F415" s="4">
        <v>34.4</v>
      </c>
      <c r="G415" s="4">
        <v>3703</v>
      </c>
      <c r="H415" s="2" t="s">
        <v>36</v>
      </c>
      <c r="I415" s="2" t="s">
        <v>23</v>
      </c>
      <c r="J415" s="3">
        <v>210</v>
      </c>
      <c r="K415" s="5">
        <v>1</v>
      </c>
      <c r="L415" s="4">
        <v>81.7</v>
      </c>
      <c r="M415" s="4">
        <v>2628.4</v>
      </c>
      <c r="N415" s="4">
        <v>32.700000000000003</v>
      </c>
      <c r="O415" s="4">
        <v>8.5</v>
      </c>
      <c r="P415" s="4">
        <v>1502.1</v>
      </c>
      <c r="Q415" s="5">
        <v>1.5</v>
      </c>
    </row>
    <row r="416" spans="1:17">
      <c r="A416" s="3">
        <v>64</v>
      </c>
      <c r="B416" s="2" t="s">
        <v>67</v>
      </c>
      <c r="C416" s="2" t="s">
        <v>63</v>
      </c>
      <c r="D416" s="2" t="s">
        <v>46</v>
      </c>
      <c r="E416" s="2" t="s">
        <v>47</v>
      </c>
      <c r="F416" s="4">
        <v>18</v>
      </c>
      <c r="G416" s="4">
        <v>3691.8</v>
      </c>
      <c r="H416" s="2" t="s">
        <v>36</v>
      </c>
      <c r="I416" s="2" t="s">
        <v>23</v>
      </c>
      <c r="J416" s="3">
        <v>500</v>
      </c>
      <c r="K416" s="5">
        <v>0.95</v>
      </c>
      <c r="L416" s="4">
        <v>81.900000000000006</v>
      </c>
      <c r="M416" s="4">
        <v>2503.6999999999998</v>
      </c>
      <c r="N416" s="4">
        <v>34.299999999999997</v>
      </c>
      <c r="O416" s="4">
        <v>5.5</v>
      </c>
      <c r="P416" s="4">
        <v>3585.8</v>
      </c>
      <c r="Q416" s="5">
        <v>3.41</v>
      </c>
    </row>
    <row r="417" spans="1:17">
      <c r="A417" s="3">
        <v>149</v>
      </c>
      <c r="B417" s="2" t="s">
        <v>141</v>
      </c>
      <c r="C417" s="2" t="s">
        <v>51</v>
      </c>
      <c r="D417" s="2" t="s">
        <v>142</v>
      </c>
      <c r="E417" s="2" t="s">
        <v>35</v>
      </c>
      <c r="F417" s="4">
        <v>21</v>
      </c>
      <c r="G417" s="4">
        <v>3409.2</v>
      </c>
      <c r="H417" s="2" t="s">
        <v>39</v>
      </c>
      <c r="I417" s="2" t="s">
        <v>23</v>
      </c>
      <c r="J417" s="3">
        <v>195</v>
      </c>
      <c r="K417" s="5">
        <v>0.98</v>
      </c>
      <c r="L417" s="4">
        <v>81.900000000000006</v>
      </c>
      <c r="M417" s="4">
        <v>2592.4</v>
      </c>
      <c r="N417" s="4">
        <v>33.200000000000003</v>
      </c>
      <c r="O417" s="4">
        <v>10.8</v>
      </c>
      <c r="P417" s="4">
        <v>1398.3</v>
      </c>
      <c r="Q417" s="5">
        <v>1.38</v>
      </c>
    </row>
    <row r="418" spans="1:17">
      <c r="A418" s="3">
        <v>116</v>
      </c>
      <c r="B418" s="2" t="s">
        <v>50</v>
      </c>
      <c r="C418" s="2" t="s">
        <v>78</v>
      </c>
      <c r="D418" s="2" t="s">
        <v>52</v>
      </c>
      <c r="E418" s="2" t="s">
        <v>35</v>
      </c>
      <c r="F418" s="4">
        <v>29.8</v>
      </c>
      <c r="G418" s="4">
        <v>3611</v>
      </c>
      <c r="H418" s="2" t="s">
        <v>36</v>
      </c>
      <c r="I418" s="2" t="s">
        <v>23</v>
      </c>
      <c r="J418" s="3">
        <v>500</v>
      </c>
      <c r="K418" s="5">
        <v>0.97</v>
      </c>
      <c r="L418" s="4">
        <v>82.2</v>
      </c>
      <c r="M418" s="4">
        <v>2565.1999999999998</v>
      </c>
      <c r="N418" s="4">
        <v>33.5</v>
      </c>
      <c r="O418" s="4">
        <v>8</v>
      </c>
      <c r="P418" s="4">
        <v>3601.8</v>
      </c>
      <c r="Q418" s="5">
        <v>3.51</v>
      </c>
    </row>
    <row r="419" spans="1:17">
      <c r="A419" s="3">
        <v>192</v>
      </c>
      <c r="B419" s="2" t="s">
        <v>166</v>
      </c>
      <c r="C419" s="2" t="s">
        <v>41</v>
      </c>
      <c r="D419" s="2" t="s">
        <v>167</v>
      </c>
      <c r="E419" s="2" t="s">
        <v>47</v>
      </c>
      <c r="F419" s="4">
        <v>9.4</v>
      </c>
      <c r="G419" s="4">
        <v>3601.5</v>
      </c>
      <c r="H419" s="2" t="s">
        <v>36</v>
      </c>
      <c r="I419" s="2" t="s">
        <v>23</v>
      </c>
      <c r="J419" s="3">
        <v>195</v>
      </c>
      <c r="K419" s="5">
        <v>1</v>
      </c>
      <c r="L419" s="4">
        <v>82.3</v>
      </c>
      <c r="M419" s="4">
        <v>2641.2</v>
      </c>
      <c r="N419" s="4">
        <v>32.6</v>
      </c>
      <c r="O419" s="4">
        <v>9.6</v>
      </c>
      <c r="P419" s="4">
        <v>1406.3</v>
      </c>
      <c r="Q419" s="5">
        <v>1.41</v>
      </c>
    </row>
    <row r="420" spans="1:17">
      <c r="A420" s="3">
        <v>47</v>
      </c>
      <c r="B420" s="2" t="s">
        <v>44</v>
      </c>
      <c r="C420" s="2" t="s">
        <v>51</v>
      </c>
      <c r="D420" s="2" t="s">
        <v>46</v>
      </c>
      <c r="E420" s="2" t="s">
        <v>47</v>
      </c>
      <c r="F420" s="4">
        <v>35.5</v>
      </c>
      <c r="G420" s="4">
        <v>3394</v>
      </c>
      <c r="H420" s="2" t="s">
        <v>39</v>
      </c>
      <c r="I420" s="2" t="s">
        <v>23</v>
      </c>
      <c r="J420" s="3">
        <v>500</v>
      </c>
      <c r="K420" s="5">
        <v>0.95</v>
      </c>
      <c r="L420" s="4">
        <v>82.4</v>
      </c>
      <c r="M420" s="4">
        <v>2492.1999999999998</v>
      </c>
      <c r="N420" s="4">
        <v>34.5</v>
      </c>
      <c r="O420" s="4">
        <v>5.5</v>
      </c>
      <c r="P420" s="4">
        <v>3609.2</v>
      </c>
      <c r="Q420" s="5">
        <v>3.41</v>
      </c>
    </row>
    <row r="421" spans="1:17">
      <c r="A421" s="3">
        <v>139</v>
      </c>
      <c r="B421" s="2" t="s">
        <v>136</v>
      </c>
      <c r="C421" s="2" t="s">
        <v>19</v>
      </c>
      <c r="D421" s="2" t="s">
        <v>137</v>
      </c>
      <c r="E421" s="2" t="s">
        <v>47</v>
      </c>
      <c r="F421" s="4">
        <v>16.3</v>
      </c>
      <c r="G421" s="4">
        <v>3281.1</v>
      </c>
      <c r="H421" s="2" t="s">
        <v>39</v>
      </c>
      <c r="I421" s="2" t="s">
        <v>23</v>
      </c>
      <c r="J421" s="3">
        <v>250</v>
      </c>
      <c r="K421" s="5">
        <v>0.98</v>
      </c>
      <c r="L421" s="4">
        <v>82.7</v>
      </c>
      <c r="M421" s="4">
        <v>2583.1999999999998</v>
      </c>
      <c r="N421" s="4">
        <v>33.299999999999997</v>
      </c>
      <c r="O421" s="4">
        <v>8.6</v>
      </c>
      <c r="P421" s="4">
        <v>1810.6</v>
      </c>
      <c r="Q421" s="5">
        <v>1.78</v>
      </c>
    </row>
    <row r="422" spans="1:17">
      <c r="A422" s="3">
        <v>427</v>
      </c>
      <c r="B422" s="2" t="s">
        <v>265</v>
      </c>
      <c r="C422" s="2" t="s">
        <v>19</v>
      </c>
      <c r="D422" s="2" t="s">
        <v>247</v>
      </c>
      <c r="E422" s="2" t="s">
        <v>47</v>
      </c>
      <c r="F422" s="4">
        <v>21.8</v>
      </c>
      <c r="G422" s="4">
        <v>2653</v>
      </c>
      <c r="H422" s="2" t="s">
        <v>43</v>
      </c>
      <c r="I422" s="2" t="s">
        <v>238</v>
      </c>
      <c r="J422" s="3">
        <v>210</v>
      </c>
      <c r="K422" s="5">
        <v>1.25</v>
      </c>
      <c r="L422" s="4">
        <v>82.7</v>
      </c>
      <c r="M422" s="4">
        <v>2975.9</v>
      </c>
      <c r="N422" s="4">
        <v>28.9</v>
      </c>
      <c r="O422" s="4">
        <v>9</v>
      </c>
      <c r="P422" s="4">
        <v>1521.3</v>
      </c>
      <c r="Q422" s="5">
        <v>1.91</v>
      </c>
    </row>
    <row r="423" spans="1:17">
      <c r="A423" s="3">
        <v>182</v>
      </c>
      <c r="B423" s="2" t="s">
        <v>153</v>
      </c>
      <c r="C423" s="2" t="s">
        <v>33</v>
      </c>
      <c r="D423" s="2" t="s">
        <v>154</v>
      </c>
      <c r="E423" s="2" t="s">
        <v>21</v>
      </c>
      <c r="F423" s="4">
        <v>39.6</v>
      </c>
      <c r="G423" s="4">
        <v>4650.8999999999996</v>
      </c>
      <c r="H423" s="2" t="s">
        <v>99</v>
      </c>
      <c r="I423" s="2" t="s">
        <v>23</v>
      </c>
      <c r="J423" s="3">
        <v>121</v>
      </c>
      <c r="K423" s="5">
        <v>1</v>
      </c>
      <c r="L423" s="4">
        <v>82.9</v>
      </c>
      <c r="M423" s="4">
        <v>2650.9</v>
      </c>
      <c r="N423" s="4">
        <v>32.4</v>
      </c>
      <c r="O423" s="4">
        <v>8</v>
      </c>
      <c r="P423" s="4">
        <v>879</v>
      </c>
      <c r="Q423" s="5">
        <v>0.88</v>
      </c>
    </row>
    <row r="424" spans="1:17">
      <c r="A424" s="3">
        <v>124</v>
      </c>
      <c r="B424" s="2" t="s">
        <v>125</v>
      </c>
      <c r="C424" s="2" t="s">
        <v>78</v>
      </c>
      <c r="D424" s="2" t="s">
        <v>126</v>
      </c>
      <c r="E424" s="2" t="s">
        <v>35</v>
      </c>
      <c r="F424" s="4">
        <v>15.9</v>
      </c>
      <c r="G424" s="4">
        <v>3828</v>
      </c>
      <c r="H424" s="2" t="s">
        <v>36</v>
      </c>
      <c r="I424" s="2" t="s">
        <v>23</v>
      </c>
      <c r="J424" s="3">
        <v>500</v>
      </c>
      <c r="K424" s="5">
        <v>0.98</v>
      </c>
      <c r="L424" s="4">
        <v>84.2</v>
      </c>
      <c r="M424" s="4">
        <v>2572.9</v>
      </c>
      <c r="N424" s="4">
        <v>33.4</v>
      </c>
      <c r="O424" s="4">
        <v>6.1</v>
      </c>
      <c r="P424" s="4">
        <v>3689.9</v>
      </c>
      <c r="Q424" s="5">
        <v>3.6</v>
      </c>
    </row>
    <row r="425" spans="1:17">
      <c r="A425" s="3">
        <v>1</v>
      </c>
      <c r="B425" s="2" t="s">
        <v>18</v>
      </c>
      <c r="C425" s="2" t="s">
        <v>19</v>
      </c>
      <c r="D425" s="2" t="s">
        <v>20</v>
      </c>
      <c r="E425" s="2" t="s">
        <v>21</v>
      </c>
      <c r="F425" s="4">
        <v>25.2</v>
      </c>
      <c r="G425" s="4">
        <v>5251.3</v>
      </c>
      <c r="H425" s="2" t="s">
        <v>22</v>
      </c>
      <c r="I425" s="2" t="s">
        <v>23</v>
      </c>
      <c r="J425" s="3">
        <v>130</v>
      </c>
      <c r="K425" s="5">
        <v>0.74</v>
      </c>
      <c r="L425" s="4">
        <v>84.4</v>
      </c>
      <c r="M425" s="4">
        <v>2060.6</v>
      </c>
      <c r="N425" s="4">
        <v>41.7</v>
      </c>
      <c r="O425" s="4">
        <v>7.3</v>
      </c>
      <c r="P425" s="4">
        <v>961.2</v>
      </c>
      <c r="Q425" s="5">
        <v>0.71</v>
      </c>
    </row>
    <row r="426" spans="1:17">
      <c r="A426" s="3">
        <v>184</v>
      </c>
      <c r="B426" s="2" t="s">
        <v>67</v>
      </c>
      <c r="C426" s="2" t="s">
        <v>24</v>
      </c>
      <c r="D426" s="2" t="s">
        <v>46</v>
      </c>
      <c r="E426" s="2" t="s">
        <v>47</v>
      </c>
      <c r="F426" s="4">
        <v>36</v>
      </c>
      <c r="G426" s="4">
        <v>3700</v>
      </c>
      <c r="H426" s="2" t="s">
        <v>36</v>
      </c>
      <c r="I426" s="2" t="s">
        <v>23</v>
      </c>
      <c r="J426" s="3">
        <v>210</v>
      </c>
      <c r="K426" s="5">
        <v>1</v>
      </c>
      <c r="L426" s="4">
        <v>84.4</v>
      </c>
      <c r="M426" s="4">
        <v>2629.3</v>
      </c>
      <c r="N426" s="4">
        <v>32.700000000000003</v>
      </c>
      <c r="O426" s="4">
        <v>8.5</v>
      </c>
      <c r="P426" s="4">
        <v>1553.1</v>
      </c>
      <c r="Q426" s="5">
        <v>1.55</v>
      </c>
    </row>
    <row r="427" spans="1:17">
      <c r="A427" s="3">
        <v>215</v>
      </c>
      <c r="B427" s="2" t="s">
        <v>175</v>
      </c>
      <c r="C427" s="2" t="s">
        <v>78</v>
      </c>
      <c r="D427" s="2" t="s">
        <v>149</v>
      </c>
      <c r="E427" s="2" t="s">
        <v>35</v>
      </c>
      <c r="F427" s="4">
        <v>11.4</v>
      </c>
      <c r="G427" s="4">
        <v>3640</v>
      </c>
      <c r="H427" s="2" t="s">
        <v>36</v>
      </c>
      <c r="I427" s="2" t="s">
        <v>23</v>
      </c>
      <c r="J427" s="3">
        <v>500</v>
      </c>
      <c r="K427" s="5">
        <v>1.02</v>
      </c>
      <c r="L427" s="4">
        <v>84.8</v>
      </c>
      <c r="M427" s="4">
        <v>2687.6</v>
      </c>
      <c r="N427" s="4">
        <v>32</v>
      </c>
      <c r="O427" s="4">
        <v>5.0999999999999996</v>
      </c>
      <c r="P427" s="4">
        <v>3715</v>
      </c>
      <c r="Q427" s="5">
        <v>3.79</v>
      </c>
    </row>
    <row r="428" spans="1:17">
      <c r="A428" s="3">
        <v>49</v>
      </c>
      <c r="B428" s="2" t="s">
        <v>67</v>
      </c>
      <c r="C428" s="2" t="s">
        <v>85</v>
      </c>
      <c r="D428" s="2" t="s">
        <v>46</v>
      </c>
      <c r="E428" s="2" t="s">
        <v>47</v>
      </c>
      <c r="F428" s="4">
        <v>9</v>
      </c>
      <c r="G428" s="4">
        <v>3693.2</v>
      </c>
      <c r="H428" s="2" t="s">
        <v>36</v>
      </c>
      <c r="I428" s="2" t="s">
        <v>23</v>
      </c>
      <c r="J428" s="3">
        <v>500</v>
      </c>
      <c r="K428" s="5">
        <v>0.95</v>
      </c>
      <c r="L428" s="4">
        <v>85.1</v>
      </c>
      <c r="M428" s="4">
        <v>2493.4</v>
      </c>
      <c r="N428" s="4">
        <v>34.5</v>
      </c>
      <c r="O428" s="4">
        <v>6.4</v>
      </c>
      <c r="P428" s="4">
        <v>3727</v>
      </c>
      <c r="Q428" s="5">
        <v>3.53</v>
      </c>
    </row>
    <row r="429" spans="1:17">
      <c r="A429" s="3">
        <v>134</v>
      </c>
      <c r="B429" s="2" t="s">
        <v>92</v>
      </c>
      <c r="C429" s="2" t="s">
        <v>33</v>
      </c>
      <c r="D429" s="2" t="s">
        <v>93</v>
      </c>
      <c r="E429" s="2" t="s">
        <v>35</v>
      </c>
      <c r="F429" s="4">
        <v>7.6</v>
      </c>
      <c r="G429" s="4">
        <v>3826</v>
      </c>
      <c r="H429" s="2" t="s">
        <v>36</v>
      </c>
      <c r="I429" s="2" t="s">
        <v>23</v>
      </c>
      <c r="J429" s="3">
        <v>500</v>
      </c>
      <c r="K429" s="5">
        <v>0.98</v>
      </c>
      <c r="L429" s="4">
        <v>85.1</v>
      </c>
      <c r="M429" s="4">
        <v>2580.6</v>
      </c>
      <c r="N429" s="4">
        <v>33.299999999999997</v>
      </c>
      <c r="O429" s="4">
        <v>5.5</v>
      </c>
      <c r="P429" s="4">
        <v>3727.9</v>
      </c>
      <c r="Q429" s="5">
        <v>3.65</v>
      </c>
    </row>
    <row r="430" spans="1:17">
      <c r="A430" s="3">
        <v>127</v>
      </c>
      <c r="B430" s="2" t="s">
        <v>128</v>
      </c>
      <c r="C430" s="2" t="s">
        <v>45</v>
      </c>
      <c r="D430" s="2" t="s">
        <v>46</v>
      </c>
      <c r="E430" s="2" t="s">
        <v>47</v>
      </c>
      <c r="F430" s="4">
        <v>36.700000000000003</v>
      </c>
      <c r="G430" s="4">
        <v>3771.2</v>
      </c>
      <c r="H430" s="2" t="s">
        <v>36</v>
      </c>
      <c r="I430" s="2" t="s">
        <v>23</v>
      </c>
      <c r="J430" s="3">
        <v>500</v>
      </c>
      <c r="K430" s="5">
        <v>0.98</v>
      </c>
      <c r="L430" s="4">
        <v>85.4</v>
      </c>
      <c r="M430" s="4">
        <v>2577</v>
      </c>
      <c r="N430" s="4">
        <v>33.4</v>
      </c>
      <c r="O430" s="4">
        <v>6.8</v>
      </c>
      <c r="P430" s="4">
        <v>3742.4</v>
      </c>
      <c r="Q430" s="5">
        <v>3.66</v>
      </c>
    </row>
    <row r="431" spans="1:17">
      <c r="A431" s="3">
        <v>122</v>
      </c>
      <c r="B431" s="2" t="s">
        <v>96</v>
      </c>
      <c r="C431" s="2" t="s">
        <v>19</v>
      </c>
      <c r="D431" s="2" t="s">
        <v>46</v>
      </c>
      <c r="E431" s="2" t="s">
        <v>47</v>
      </c>
      <c r="F431" s="4">
        <v>29.5</v>
      </c>
      <c r="G431" s="4">
        <v>3365.2</v>
      </c>
      <c r="H431" s="2" t="s">
        <v>39</v>
      </c>
      <c r="I431" s="2" t="s">
        <v>23</v>
      </c>
      <c r="J431" s="3">
        <v>500</v>
      </c>
      <c r="K431" s="5">
        <v>0.98</v>
      </c>
      <c r="L431" s="4">
        <v>85.9</v>
      </c>
      <c r="M431" s="4">
        <v>2574.1</v>
      </c>
      <c r="N431" s="4">
        <v>33.4</v>
      </c>
      <c r="O431" s="4">
        <v>7.4</v>
      </c>
      <c r="P431" s="4">
        <v>3762.8</v>
      </c>
      <c r="Q431" s="5">
        <v>3.67</v>
      </c>
    </row>
    <row r="432" spans="1:17">
      <c r="A432" s="3">
        <v>22</v>
      </c>
      <c r="B432" s="2" t="s">
        <v>54</v>
      </c>
      <c r="C432" s="2"/>
      <c r="D432" s="2" t="s">
        <v>55</v>
      </c>
      <c r="E432" s="2" t="s">
        <v>35</v>
      </c>
      <c r="F432" s="4">
        <v>8.4</v>
      </c>
      <c r="G432" s="4">
        <v>4002</v>
      </c>
      <c r="H432" s="2" t="s">
        <v>29</v>
      </c>
      <c r="I432" s="2" t="s">
        <v>23</v>
      </c>
      <c r="J432" s="3">
        <v>600</v>
      </c>
      <c r="K432" s="5">
        <v>0.93</v>
      </c>
      <c r="L432" s="4">
        <v>86.6</v>
      </c>
      <c r="M432" s="4">
        <v>2446.5</v>
      </c>
      <c r="N432" s="4">
        <v>35.1</v>
      </c>
      <c r="O432" s="4">
        <v>6.2</v>
      </c>
      <c r="P432" s="4">
        <v>4554</v>
      </c>
      <c r="Q432" s="5">
        <v>4.2300000000000004</v>
      </c>
    </row>
    <row r="433" spans="1:17">
      <c r="A433" s="3">
        <v>30</v>
      </c>
      <c r="B433" s="2" t="s">
        <v>65</v>
      </c>
      <c r="C433" s="2" t="s">
        <v>24</v>
      </c>
      <c r="D433" s="2" t="s">
        <v>46</v>
      </c>
      <c r="E433" s="2" t="s">
        <v>47</v>
      </c>
      <c r="F433" s="4">
        <v>15.6</v>
      </c>
      <c r="G433" s="4">
        <v>3474.3</v>
      </c>
      <c r="H433" s="2" t="s">
        <v>39</v>
      </c>
      <c r="I433" s="2" t="s">
        <v>23</v>
      </c>
      <c r="J433" s="3">
        <v>500</v>
      </c>
      <c r="K433" s="5">
        <v>0.94</v>
      </c>
      <c r="L433" s="4">
        <v>86.6</v>
      </c>
      <c r="M433" s="4">
        <v>2475</v>
      </c>
      <c r="N433" s="4">
        <v>34.700000000000003</v>
      </c>
      <c r="O433" s="4">
        <v>6.1</v>
      </c>
      <c r="P433" s="4">
        <v>3792.6</v>
      </c>
      <c r="Q433" s="5">
        <v>3.55</v>
      </c>
    </row>
    <row r="434" spans="1:17">
      <c r="A434" s="3">
        <v>94</v>
      </c>
      <c r="B434" s="2" t="s">
        <v>96</v>
      </c>
      <c r="C434" s="2" t="s">
        <v>41</v>
      </c>
      <c r="D434" s="2" t="s">
        <v>46</v>
      </c>
      <c r="E434" s="2" t="s">
        <v>47</v>
      </c>
      <c r="F434" s="4">
        <v>21.6</v>
      </c>
      <c r="G434" s="4">
        <v>3369.8</v>
      </c>
      <c r="H434" s="2" t="s">
        <v>39</v>
      </c>
      <c r="I434" s="2" t="s">
        <v>23</v>
      </c>
      <c r="J434" s="3">
        <v>500</v>
      </c>
      <c r="K434" s="5">
        <v>0.97</v>
      </c>
      <c r="L434" s="4">
        <v>86.8</v>
      </c>
      <c r="M434" s="4">
        <v>2548.4</v>
      </c>
      <c r="N434" s="4">
        <v>33.700000000000003</v>
      </c>
      <c r="O434" s="4">
        <v>6.2</v>
      </c>
      <c r="P434" s="4">
        <v>3803.3</v>
      </c>
      <c r="Q434" s="5">
        <v>3.67</v>
      </c>
    </row>
    <row r="435" spans="1:17">
      <c r="A435" s="3">
        <v>133</v>
      </c>
      <c r="B435" s="2" t="s">
        <v>92</v>
      </c>
      <c r="C435" s="2" t="s">
        <v>41</v>
      </c>
      <c r="D435" s="2" t="s">
        <v>93</v>
      </c>
      <c r="E435" s="2" t="s">
        <v>35</v>
      </c>
      <c r="F435" s="4">
        <v>8.6</v>
      </c>
      <c r="G435" s="4">
        <v>3826</v>
      </c>
      <c r="H435" s="2" t="s">
        <v>36</v>
      </c>
      <c r="I435" s="2" t="s">
        <v>23</v>
      </c>
      <c r="J435" s="3">
        <v>500</v>
      </c>
      <c r="K435" s="5">
        <v>0.98</v>
      </c>
      <c r="L435" s="4">
        <v>87</v>
      </c>
      <c r="M435" s="4">
        <v>2580.1999999999998</v>
      </c>
      <c r="N435" s="4">
        <v>33.299999999999997</v>
      </c>
      <c r="O435" s="4">
        <v>5.5</v>
      </c>
      <c r="P435" s="4">
        <v>3812</v>
      </c>
      <c r="Q435" s="5">
        <v>3.73</v>
      </c>
    </row>
    <row r="436" spans="1:17">
      <c r="A436" s="3">
        <v>77</v>
      </c>
      <c r="B436" s="2" t="s">
        <v>67</v>
      </c>
      <c r="C436" s="2" t="s">
        <v>45</v>
      </c>
      <c r="D436" s="2" t="s">
        <v>46</v>
      </c>
      <c r="E436" s="2" t="s">
        <v>47</v>
      </c>
      <c r="F436" s="4">
        <v>25.4</v>
      </c>
      <c r="G436" s="4">
        <v>3695.5</v>
      </c>
      <c r="H436" s="2" t="s">
        <v>36</v>
      </c>
      <c r="I436" s="2" t="s">
        <v>23</v>
      </c>
      <c r="J436" s="3">
        <v>500</v>
      </c>
      <c r="K436" s="5">
        <v>0.96</v>
      </c>
      <c r="L436" s="4">
        <v>87.4</v>
      </c>
      <c r="M436" s="4">
        <v>2527</v>
      </c>
      <c r="N436" s="4">
        <v>34</v>
      </c>
      <c r="O436" s="4">
        <v>6.3</v>
      </c>
      <c r="P436" s="4">
        <v>3829.6</v>
      </c>
      <c r="Q436" s="5">
        <v>3.67</v>
      </c>
    </row>
    <row r="437" spans="1:17">
      <c r="A437" s="3">
        <v>21</v>
      </c>
      <c r="B437" s="2" t="s">
        <v>50</v>
      </c>
      <c r="C437" s="2" t="s">
        <v>45</v>
      </c>
      <c r="D437" s="2" t="s">
        <v>52</v>
      </c>
      <c r="E437" s="2" t="s">
        <v>35</v>
      </c>
      <c r="F437" s="4">
        <v>8.4</v>
      </c>
      <c r="G437" s="4">
        <v>3590</v>
      </c>
      <c r="H437" s="2" t="s">
        <v>36</v>
      </c>
      <c r="I437" s="2" t="s">
        <v>23</v>
      </c>
      <c r="J437" s="3">
        <v>500</v>
      </c>
      <c r="K437" s="5">
        <v>0.93</v>
      </c>
      <c r="L437" s="4">
        <v>87.7</v>
      </c>
      <c r="M437" s="4">
        <v>2446.3000000000002</v>
      </c>
      <c r="N437" s="4">
        <v>35.1</v>
      </c>
      <c r="O437" s="4">
        <v>5.5</v>
      </c>
      <c r="P437" s="4">
        <v>3841.1</v>
      </c>
      <c r="Q437" s="5">
        <v>3.57</v>
      </c>
    </row>
    <row r="438" spans="1:17">
      <c r="A438" s="3">
        <v>189</v>
      </c>
      <c r="B438" s="2" t="s">
        <v>128</v>
      </c>
      <c r="C438" s="2" t="s">
        <v>41</v>
      </c>
      <c r="D438" s="2" t="s">
        <v>46</v>
      </c>
      <c r="E438" s="2" t="s">
        <v>47</v>
      </c>
      <c r="F438" s="4">
        <v>41.4</v>
      </c>
      <c r="G438" s="4">
        <v>3761.2</v>
      </c>
      <c r="H438" s="2" t="s">
        <v>36</v>
      </c>
      <c r="I438" s="2" t="s">
        <v>23</v>
      </c>
      <c r="J438" s="3">
        <v>200</v>
      </c>
      <c r="K438" s="5">
        <v>1</v>
      </c>
      <c r="L438" s="4">
        <v>88.2</v>
      </c>
      <c r="M438" s="4">
        <v>2634.2</v>
      </c>
      <c r="N438" s="4">
        <v>32.6</v>
      </c>
      <c r="O438" s="4">
        <v>9.1</v>
      </c>
      <c r="P438" s="4">
        <v>1544.5</v>
      </c>
      <c r="Q438" s="5">
        <v>1.54</v>
      </c>
    </row>
    <row r="439" spans="1:17">
      <c r="A439" s="3">
        <v>154</v>
      </c>
      <c r="B439" s="2" t="s">
        <v>147</v>
      </c>
      <c r="C439" s="2" t="s">
        <v>68</v>
      </c>
      <c r="D439" s="2" t="s">
        <v>126</v>
      </c>
      <c r="E439" s="2" t="s">
        <v>35</v>
      </c>
      <c r="F439" s="4">
        <v>10.6</v>
      </c>
      <c r="G439" s="4">
        <v>3924</v>
      </c>
      <c r="H439" s="2" t="s">
        <v>36</v>
      </c>
      <c r="I439" s="2" t="s">
        <v>23</v>
      </c>
      <c r="J439" s="3">
        <v>250</v>
      </c>
      <c r="K439" s="5">
        <v>0.99</v>
      </c>
      <c r="L439" s="4">
        <v>88.3</v>
      </c>
      <c r="M439" s="4">
        <v>2601.6999999999998</v>
      </c>
      <c r="N439" s="4">
        <v>33</v>
      </c>
      <c r="O439" s="4">
        <v>8</v>
      </c>
      <c r="P439" s="4">
        <v>1933.8</v>
      </c>
      <c r="Q439" s="5">
        <v>1.91</v>
      </c>
    </row>
    <row r="440" spans="1:17">
      <c r="A440" s="3">
        <v>164</v>
      </c>
      <c r="B440" s="2" t="s">
        <v>139</v>
      </c>
      <c r="C440" s="2" t="s">
        <v>33</v>
      </c>
      <c r="D440" s="2" t="s">
        <v>93</v>
      </c>
      <c r="E440" s="2" t="s">
        <v>35</v>
      </c>
      <c r="F440" s="4">
        <v>16.600000000000001</v>
      </c>
      <c r="G440" s="4">
        <v>4253</v>
      </c>
      <c r="H440" s="2" t="s">
        <v>29</v>
      </c>
      <c r="I440" s="2" t="s">
        <v>23</v>
      </c>
      <c r="J440" s="3">
        <v>210</v>
      </c>
      <c r="K440" s="5">
        <v>0.99</v>
      </c>
      <c r="L440" s="4">
        <v>88.3</v>
      </c>
      <c r="M440" s="4">
        <v>2612</v>
      </c>
      <c r="N440" s="4">
        <v>32.9</v>
      </c>
      <c r="O440" s="4">
        <v>8.5</v>
      </c>
      <c r="P440" s="4">
        <v>1625</v>
      </c>
      <c r="Q440" s="5">
        <v>1.61</v>
      </c>
    </row>
    <row r="441" spans="1:17">
      <c r="A441" s="3">
        <v>38</v>
      </c>
      <c r="B441" s="2" t="s">
        <v>44</v>
      </c>
      <c r="C441" s="2" t="s">
        <v>33</v>
      </c>
      <c r="D441" s="2" t="s">
        <v>46</v>
      </c>
      <c r="E441" s="2" t="s">
        <v>47</v>
      </c>
      <c r="F441" s="4">
        <v>37.200000000000003</v>
      </c>
      <c r="G441" s="4">
        <v>3400</v>
      </c>
      <c r="H441" s="2" t="s">
        <v>39</v>
      </c>
      <c r="I441" s="2" t="s">
        <v>23</v>
      </c>
      <c r="J441" s="3">
        <v>500</v>
      </c>
      <c r="K441" s="5">
        <v>0.94</v>
      </c>
      <c r="L441" s="4">
        <v>88.6</v>
      </c>
      <c r="M441" s="4">
        <v>2481.5</v>
      </c>
      <c r="N441" s="4">
        <v>34.700000000000003</v>
      </c>
      <c r="O441" s="4">
        <v>5.8</v>
      </c>
      <c r="P441" s="4">
        <v>3881</v>
      </c>
      <c r="Q441" s="5">
        <v>3.65</v>
      </c>
    </row>
    <row r="442" spans="1:17">
      <c r="A442" s="3">
        <v>220</v>
      </c>
      <c r="B442" s="2" t="s">
        <v>139</v>
      </c>
      <c r="C442" s="2" t="s">
        <v>19</v>
      </c>
      <c r="D442" s="2" t="s">
        <v>93</v>
      </c>
      <c r="E442" s="2" t="s">
        <v>35</v>
      </c>
      <c r="F442" s="4">
        <v>25.1</v>
      </c>
      <c r="G442" s="4">
        <v>4253</v>
      </c>
      <c r="H442" s="2" t="s">
        <v>29</v>
      </c>
      <c r="I442" s="2" t="s">
        <v>23</v>
      </c>
      <c r="J442" s="3">
        <v>210</v>
      </c>
      <c r="K442" s="5">
        <v>1.03</v>
      </c>
      <c r="L442" s="4">
        <v>88.7</v>
      </c>
      <c r="M442" s="4">
        <v>2702.4</v>
      </c>
      <c r="N442" s="4">
        <v>31.8</v>
      </c>
      <c r="O442" s="4">
        <v>8.5</v>
      </c>
      <c r="P442" s="4">
        <v>1632</v>
      </c>
      <c r="Q442" s="5">
        <v>1.67</v>
      </c>
    </row>
    <row r="443" spans="1:17">
      <c r="A443" s="3">
        <v>19</v>
      </c>
      <c r="B443" s="2" t="s">
        <v>50</v>
      </c>
      <c r="C443" s="2" t="s">
        <v>51</v>
      </c>
      <c r="D443" s="2" t="s">
        <v>52</v>
      </c>
      <c r="E443" s="2" t="s">
        <v>35</v>
      </c>
      <c r="F443" s="4">
        <v>9.1999999999999993</v>
      </c>
      <c r="G443" s="4">
        <v>3590</v>
      </c>
      <c r="H443" s="2" t="s">
        <v>36</v>
      </c>
      <c r="I443" s="2" t="s">
        <v>23</v>
      </c>
      <c r="J443" s="3">
        <v>500</v>
      </c>
      <c r="K443" s="5">
        <v>0.93</v>
      </c>
      <c r="L443" s="4">
        <v>89.3</v>
      </c>
      <c r="M443" s="4">
        <v>2445.1999999999998</v>
      </c>
      <c r="N443" s="4">
        <v>35.200000000000003</v>
      </c>
      <c r="O443" s="4">
        <v>5.6</v>
      </c>
      <c r="P443" s="4">
        <v>3909.6</v>
      </c>
      <c r="Q443" s="5">
        <v>3.63</v>
      </c>
    </row>
    <row r="444" spans="1:17">
      <c r="A444" s="3">
        <v>115</v>
      </c>
      <c r="B444" s="2" t="s">
        <v>44</v>
      </c>
      <c r="C444" s="2" t="s">
        <v>41</v>
      </c>
      <c r="D444" s="2" t="s">
        <v>46</v>
      </c>
      <c r="E444" s="2" t="s">
        <v>47</v>
      </c>
      <c r="F444" s="4">
        <v>40.4</v>
      </c>
      <c r="G444" s="4">
        <v>3405</v>
      </c>
      <c r="H444" s="2" t="s">
        <v>39</v>
      </c>
      <c r="I444" s="2" t="s">
        <v>23</v>
      </c>
      <c r="J444" s="3">
        <v>200</v>
      </c>
      <c r="K444" s="5">
        <v>0.97</v>
      </c>
      <c r="L444" s="4">
        <v>89.4</v>
      </c>
      <c r="M444" s="4">
        <v>2566.3000000000002</v>
      </c>
      <c r="N444" s="4">
        <v>33.5</v>
      </c>
      <c r="O444" s="4">
        <v>8.3000000000000007</v>
      </c>
      <c r="P444" s="4">
        <v>1567</v>
      </c>
      <c r="Q444" s="5">
        <v>1.53</v>
      </c>
    </row>
    <row r="445" spans="1:17">
      <c r="A445" s="3">
        <v>176</v>
      </c>
      <c r="B445" s="2" t="s">
        <v>67</v>
      </c>
      <c r="C445" s="2" t="s">
        <v>51</v>
      </c>
      <c r="D445" s="2" t="s">
        <v>46</v>
      </c>
      <c r="E445" s="2" t="s">
        <v>47</v>
      </c>
      <c r="F445" s="4">
        <v>33.5</v>
      </c>
      <c r="G445" s="4">
        <v>3699.6</v>
      </c>
      <c r="H445" s="2" t="s">
        <v>36</v>
      </c>
      <c r="I445" s="2" t="s">
        <v>23</v>
      </c>
      <c r="J445" s="3">
        <v>210</v>
      </c>
      <c r="K445" s="5">
        <v>1</v>
      </c>
      <c r="L445" s="4">
        <v>89.4</v>
      </c>
      <c r="M445" s="4">
        <v>2626</v>
      </c>
      <c r="N445" s="4">
        <v>32.700000000000003</v>
      </c>
      <c r="O445" s="4">
        <v>8.5</v>
      </c>
      <c r="P445" s="4">
        <v>1645</v>
      </c>
      <c r="Q445" s="5">
        <v>1.64</v>
      </c>
    </row>
    <row r="446" spans="1:17">
      <c r="A446" s="3">
        <v>180</v>
      </c>
      <c r="B446" s="2" t="s">
        <v>160</v>
      </c>
      <c r="C446" s="2" t="s">
        <v>78</v>
      </c>
      <c r="D446" s="2" t="s">
        <v>93</v>
      </c>
      <c r="E446" s="2" t="s">
        <v>35</v>
      </c>
      <c r="F446" s="4">
        <v>16.7</v>
      </c>
      <c r="G446" s="4">
        <v>3402.2</v>
      </c>
      <c r="H446" s="2" t="s">
        <v>39</v>
      </c>
      <c r="I446" s="2" t="s">
        <v>23</v>
      </c>
      <c r="J446" s="3">
        <v>250</v>
      </c>
      <c r="K446" s="5">
        <v>1</v>
      </c>
      <c r="L446" s="4">
        <v>89.4</v>
      </c>
      <c r="M446" s="4">
        <v>2627.3</v>
      </c>
      <c r="N446" s="4">
        <v>32.700000000000003</v>
      </c>
      <c r="O446" s="4">
        <v>8.1</v>
      </c>
      <c r="P446" s="4">
        <v>1958.4</v>
      </c>
      <c r="Q446" s="5">
        <v>1.95</v>
      </c>
    </row>
    <row r="447" spans="1:17">
      <c r="A447" s="3">
        <v>229</v>
      </c>
      <c r="B447" s="2" t="s">
        <v>139</v>
      </c>
      <c r="C447" s="2" t="s">
        <v>24</v>
      </c>
      <c r="D447" s="2" t="s">
        <v>93</v>
      </c>
      <c r="E447" s="2" t="s">
        <v>35</v>
      </c>
      <c r="F447" s="4">
        <v>24.2</v>
      </c>
      <c r="G447" s="4">
        <v>4253</v>
      </c>
      <c r="H447" s="2" t="s">
        <v>29</v>
      </c>
      <c r="I447" s="2" t="s">
        <v>23</v>
      </c>
      <c r="J447" s="3">
        <v>210</v>
      </c>
      <c r="K447" s="5">
        <v>1.03</v>
      </c>
      <c r="L447" s="4">
        <v>89.4</v>
      </c>
      <c r="M447" s="4">
        <v>2714.7</v>
      </c>
      <c r="N447" s="4">
        <v>31.7</v>
      </c>
      <c r="O447" s="4">
        <v>8.5</v>
      </c>
      <c r="P447" s="4">
        <v>1645</v>
      </c>
      <c r="Q447" s="5">
        <v>1.69</v>
      </c>
    </row>
    <row r="448" spans="1:17">
      <c r="A448" s="3">
        <v>101</v>
      </c>
      <c r="B448" s="2" t="s">
        <v>44</v>
      </c>
      <c r="C448" s="2" t="s">
        <v>24</v>
      </c>
      <c r="D448" s="2" t="s">
        <v>46</v>
      </c>
      <c r="E448" s="2" t="s">
        <v>47</v>
      </c>
      <c r="F448" s="4">
        <v>40.799999999999997</v>
      </c>
      <c r="G448" s="4">
        <v>3404</v>
      </c>
      <c r="H448" s="2" t="s">
        <v>39</v>
      </c>
      <c r="I448" s="2" t="s">
        <v>23</v>
      </c>
      <c r="J448" s="3">
        <v>200</v>
      </c>
      <c r="K448" s="5">
        <v>0.97</v>
      </c>
      <c r="L448" s="4">
        <v>89.5</v>
      </c>
      <c r="M448" s="4">
        <v>2549.9</v>
      </c>
      <c r="N448" s="4">
        <v>33.700000000000003</v>
      </c>
      <c r="O448" s="4">
        <v>8.3000000000000007</v>
      </c>
      <c r="P448" s="4">
        <v>1567.5</v>
      </c>
      <c r="Q448" s="5">
        <v>1.52</v>
      </c>
    </row>
    <row r="449" spans="1:19">
      <c r="A449" s="3">
        <v>106</v>
      </c>
      <c r="B449" s="2" t="s">
        <v>112</v>
      </c>
      <c r="C449" s="2" t="s">
        <v>41</v>
      </c>
      <c r="D449" s="2" t="s">
        <v>46</v>
      </c>
      <c r="E449" s="2" t="s">
        <v>47</v>
      </c>
      <c r="F449" s="4">
        <v>19.5</v>
      </c>
      <c r="G449" s="4">
        <v>3940.8</v>
      </c>
      <c r="H449" s="2" t="s">
        <v>36</v>
      </c>
      <c r="I449" s="2" t="s">
        <v>23</v>
      </c>
      <c r="J449" s="3">
        <v>500</v>
      </c>
      <c r="K449" s="5">
        <v>0.97</v>
      </c>
      <c r="L449" s="4">
        <v>89.6</v>
      </c>
      <c r="M449" s="4">
        <v>2553.8000000000002</v>
      </c>
      <c r="N449" s="4">
        <v>33.700000000000003</v>
      </c>
      <c r="O449" s="4">
        <v>5.7</v>
      </c>
      <c r="P449" s="4">
        <v>3925.3</v>
      </c>
      <c r="Q449" s="5">
        <v>3.8</v>
      </c>
    </row>
    <row r="450" spans="1:19">
      <c r="A450" s="3">
        <v>107</v>
      </c>
      <c r="B450" s="2" t="s">
        <v>112</v>
      </c>
      <c r="C450" s="2" t="s">
        <v>33</v>
      </c>
      <c r="D450" s="2" t="s">
        <v>46</v>
      </c>
      <c r="E450" s="2" t="s">
        <v>47</v>
      </c>
      <c r="F450" s="4">
        <v>18.899999999999999</v>
      </c>
      <c r="G450" s="4">
        <v>3938.2</v>
      </c>
      <c r="H450" s="2" t="s">
        <v>36</v>
      </c>
      <c r="I450" s="2" t="s">
        <v>23</v>
      </c>
      <c r="J450" s="3">
        <v>500</v>
      </c>
      <c r="K450" s="5">
        <v>0.97</v>
      </c>
      <c r="L450" s="4">
        <v>89.7</v>
      </c>
      <c r="M450" s="4">
        <v>2554.6</v>
      </c>
      <c r="N450" s="4">
        <v>33.700000000000003</v>
      </c>
      <c r="O450" s="4">
        <v>5.6</v>
      </c>
      <c r="P450" s="4">
        <v>3927.3</v>
      </c>
      <c r="Q450" s="5">
        <v>3.81</v>
      </c>
    </row>
    <row r="451" spans="1:19">
      <c r="A451" s="3">
        <v>92</v>
      </c>
      <c r="B451" s="2" t="s">
        <v>112</v>
      </c>
      <c r="C451" s="2" t="s">
        <v>78</v>
      </c>
      <c r="D451" s="2" t="s">
        <v>46</v>
      </c>
      <c r="E451" s="2" t="s">
        <v>47</v>
      </c>
      <c r="F451" s="4">
        <v>12.2</v>
      </c>
      <c r="G451" s="4">
        <v>3937.4</v>
      </c>
      <c r="H451" s="2" t="s">
        <v>36</v>
      </c>
      <c r="I451" s="2" t="s">
        <v>23</v>
      </c>
      <c r="J451" s="3">
        <v>500</v>
      </c>
      <c r="K451" s="5">
        <v>0.96</v>
      </c>
      <c r="L451" s="4">
        <v>89.8</v>
      </c>
      <c r="M451" s="4">
        <v>2543.6</v>
      </c>
      <c r="N451" s="4">
        <v>33.799999999999997</v>
      </c>
      <c r="O451" s="4">
        <v>5.3</v>
      </c>
      <c r="P451" s="4">
        <v>3931.8</v>
      </c>
      <c r="Q451" s="5">
        <v>3.79</v>
      </c>
    </row>
    <row r="452" spans="1:19">
      <c r="A452" s="3">
        <v>67</v>
      </c>
      <c r="B452" s="2" t="s">
        <v>96</v>
      </c>
      <c r="C452" s="2" t="s">
        <v>33</v>
      </c>
      <c r="D452" s="2" t="s">
        <v>46</v>
      </c>
      <c r="E452" s="2" t="s">
        <v>47</v>
      </c>
      <c r="F452" s="4">
        <v>20.8</v>
      </c>
      <c r="G452" s="4">
        <v>3368.1</v>
      </c>
      <c r="H452" s="2" t="s">
        <v>39</v>
      </c>
      <c r="I452" s="2" t="s">
        <v>23</v>
      </c>
      <c r="J452" s="3">
        <v>500</v>
      </c>
      <c r="K452" s="5">
        <v>0.95</v>
      </c>
      <c r="L452" s="4">
        <v>89.9</v>
      </c>
      <c r="M452" s="4">
        <v>2511.6</v>
      </c>
      <c r="N452" s="4">
        <v>34.200000000000003</v>
      </c>
      <c r="O452" s="4">
        <v>5.5</v>
      </c>
      <c r="P452" s="4">
        <v>3939</v>
      </c>
      <c r="Q452" s="5">
        <v>3.75</v>
      </c>
    </row>
    <row r="453" spans="1:19">
      <c r="A453" s="3">
        <v>34</v>
      </c>
      <c r="B453" s="2" t="s">
        <v>67</v>
      </c>
      <c r="C453" s="2" t="s">
        <v>71</v>
      </c>
      <c r="D453" s="2" t="s">
        <v>46</v>
      </c>
      <c r="E453" s="2" t="s">
        <v>47</v>
      </c>
      <c r="F453" s="4">
        <v>11.4</v>
      </c>
      <c r="G453" s="4">
        <v>3696.5</v>
      </c>
      <c r="H453" s="2" t="s">
        <v>36</v>
      </c>
      <c r="I453" s="2" t="s">
        <v>23</v>
      </c>
      <c r="J453" s="3">
        <v>500</v>
      </c>
      <c r="K453" s="5">
        <v>0.94</v>
      </c>
      <c r="L453" s="4">
        <v>90.5</v>
      </c>
      <c r="M453" s="4">
        <v>2472.1</v>
      </c>
      <c r="N453" s="4">
        <v>34.799999999999997</v>
      </c>
      <c r="O453" s="4">
        <v>5.4</v>
      </c>
      <c r="P453" s="4">
        <v>3964.2</v>
      </c>
      <c r="Q453" s="5">
        <v>3.72</v>
      </c>
      <c r="S453">
        <f>CORREL(L2:L456, M2:M456)</f>
        <v>-0.45955446878969941</v>
      </c>
    </row>
    <row r="454" spans="1:19">
      <c r="A454" s="3">
        <v>66</v>
      </c>
      <c r="B454" s="2" t="s">
        <v>44</v>
      </c>
      <c r="C454" s="2" t="s">
        <v>78</v>
      </c>
      <c r="D454" s="2" t="s">
        <v>46</v>
      </c>
      <c r="E454" s="2" t="s">
        <v>47</v>
      </c>
      <c r="F454" s="4">
        <v>36.4</v>
      </c>
      <c r="G454" s="4">
        <v>3404</v>
      </c>
      <c r="H454" s="2" t="s">
        <v>39</v>
      </c>
      <c r="I454" s="2" t="s">
        <v>23</v>
      </c>
      <c r="J454" s="3">
        <v>500</v>
      </c>
      <c r="K454" s="5">
        <v>0.95</v>
      </c>
      <c r="L454" s="4">
        <v>90.7</v>
      </c>
      <c r="M454" s="4">
        <v>2506.8000000000002</v>
      </c>
      <c r="N454" s="4">
        <v>34.299999999999997</v>
      </c>
      <c r="O454" s="4">
        <v>5.6</v>
      </c>
      <c r="P454" s="4">
        <v>3972.4</v>
      </c>
      <c r="Q454" s="5">
        <v>3.78</v>
      </c>
    </row>
    <row r="455" spans="1:19">
      <c r="A455" s="3">
        <v>237</v>
      </c>
      <c r="B455" s="2" t="s">
        <v>183</v>
      </c>
      <c r="C455" s="2" t="s">
        <v>19</v>
      </c>
      <c r="D455" s="2" t="s">
        <v>34</v>
      </c>
      <c r="E455" s="2" t="s">
        <v>35</v>
      </c>
      <c r="F455" s="4">
        <v>4.2</v>
      </c>
      <c r="G455" s="4">
        <v>3450</v>
      </c>
      <c r="H455" s="2" t="s">
        <v>39</v>
      </c>
      <c r="I455" s="2" t="s">
        <v>23</v>
      </c>
      <c r="J455" s="3">
        <v>270</v>
      </c>
      <c r="K455" s="5">
        <v>1.04</v>
      </c>
      <c r="L455" s="4">
        <v>91.1</v>
      </c>
      <c r="M455" s="4">
        <v>2696.1</v>
      </c>
      <c r="N455" s="4">
        <v>31.9</v>
      </c>
      <c r="O455" s="4">
        <v>9.1</v>
      </c>
      <c r="P455" s="4">
        <v>2155</v>
      </c>
      <c r="Q455" s="5">
        <v>2.23</v>
      </c>
    </row>
    <row r="456" spans="1:19">
      <c r="A456" s="3">
        <v>32</v>
      </c>
      <c r="B456" s="2" t="s">
        <v>67</v>
      </c>
      <c r="C456" s="2" t="s">
        <v>68</v>
      </c>
      <c r="D456" s="2" t="s">
        <v>46</v>
      </c>
      <c r="E456" s="2" t="s">
        <v>47</v>
      </c>
      <c r="F456" s="4">
        <v>12.1</v>
      </c>
      <c r="G456" s="4">
        <v>3698.2</v>
      </c>
      <c r="H456" s="2" t="s">
        <v>36</v>
      </c>
      <c r="I456" s="2" t="s">
        <v>23</v>
      </c>
      <c r="J456" s="3">
        <v>500</v>
      </c>
      <c r="K456" s="5">
        <v>0.94</v>
      </c>
      <c r="L456" s="4">
        <v>91.2</v>
      </c>
      <c r="M456" s="4">
        <v>2470.6999999999998</v>
      </c>
      <c r="N456" s="4">
        <v>34.799999999999997</v>
      </c>
      <c r="O456" s="4">
        <v>5.5</v>
      </c>
      <c r="P456" s="4">
        <v>3996.1</v>
      </c>
      <c r="Q456" s="5">
        <v>3.75</v>
      </c>
    </row>
    <row r="459" spans="1:19">
      <c r="L459" t="s">
        <v>295</v>
      </c>
      <c r="N459" s="10">
        <f>MAX(N2:N456)</f>
        <v>41.7</v>
      </c>
    </row>
    <row r="460" spans="1:19">
      <c r="L460" t="s">
        <v>296</v>
      </c>
      <c r="N460" s="10">
        <f>MIN(N2:N456)</f>
        <v>18.3</v>
      </c>
    </row>
  </sheetData>
  <autoFilter ref="A1:Q456" xr:uid="{B85D6D51-F060-6F45-A613-44933939276C}"/>
  <sortState xmlns:xlrd2="http://schemas.microsoft.com/office/spreadsheetml/2017/richdata2" ref="A2:Q456">
    <sortCondition ref="L2:L45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1"/>
    </sheetView>
  </sheetViews>
  <sheetFormatPr baseColWidth="10" defaultColWidth="8.83203125" defaultRowHeight="14"/>
  <cols>
    <col min="1" max="2" width="36" customWidth="1"/>
  </cols>
  <sheetData>
    <row r="1" spans="1:2">
      <c r="A1" s="8" t="s">
        <v>277</v>
      </c>
      <c r="B1" s="8"/>
    </row>
    <row r="2" spans="1:2">
      <c r="A2" s="6" t="s">
        <v>278</v>
      </c>
      <c r="B2" t="s">
        <v>279</v>
      </c>
    </row>
    <row r="3" spans="1:2">
      <c r="A3" s="6" t="s">
        <v>280</v>
      </c>
      <c r="B3" t="s">
        <v>281</v>
      </c>
    </row>
    <row r="4" spans="1:2">
      <c r="A4" s="6" t="s">
        <v>282</v>
      </c>
      <c r="B4" t="s">
        <v>283</v>
      </c>
    </row>
    <row r="5" spans="1:2">
      <c r="A5" s="6" t="s">
        <v>284</v>
      </c>
      <c r="B5">
        <v>455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Working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 Upadhyaya</cp:lastModifiedBy>
  <dcterms:created xsi:type="dcterms:W3CDTF">2026-04-30T14:04:13Z</dcterms:created>
  <dcterms:modified xsi:type="dcterms:W3CDTF">2026-05-11T01:51:54Z</dcterms:modified>
</cp:coreProperties>
</file>